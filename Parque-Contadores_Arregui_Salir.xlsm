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9" codeName="{3D1A710C-6663-3D7B-7F91-EC182F24A4BC}"/>
  <workbookPr filterPrivacy="1" codeName="ThisWorkbook" defaultThemeVersion="124226"/>
  <xr:revisionPtr revIDLastSave="0" documentId="13_ncr:1_{D799CAF3-24BC-4279-8077-EADBDBF64A4C}" xr6:coauthVersionLast="36" xr6:coauthVersionMax="43" xr10:uidLastSave="{00000000-0000-0000-0000-000000000000}"/>
  <workbookProtection workbookAlgorithmName="SHA-512" workbookHashValue="H6Vd5KsEhSuhHqzuCF3Np7Xvym4ZtgPlRUIjN96bw7WxRO+M26igMLHUq9pDLkkkRX5n/PjgcE7+PMrHOLDEsQ==" workbookSaltValue="ioEUK2VIMiRQFTG4OQfuag==" workbookSpinCount="100000" lockStructure="1"/>
  <bookViews>
    <workbookView xWindow="-120" yWindow="-120" windowWidth="29040" windowHeight="15840" activeTab="1" xr2:uid="{00000000-000D-0000-FFFF-FFFF00000000}"/>
  </bookViews>
  <sheets>
    <sheet name="Cover" sheetId="12" r:id="rId1"/>
    <sheet name="Report" sheetId="9" r:id="rId2"/>
    <sheet name="Informação geral" sheetId="7" r:id="rId3"/>
    <sheet name="DOMESTICO" sheetId="11" r:id="rId4"/>
    <sheet name="COMERCIAL" sheetId="2" r:id="rId5"/>
    <sheet name="INDUSTRIAL" sheetId="4" r:id="rId6"/>
    <sheet name="OTROS" sheetId="5" r:id="rId7"/>
    <sheet name="Info_med" sheetId="8" r:id="rId8"/>
    <sheet name="Meters" sheetId="13" r:id="rId9"/>
  </sheets>
  <definedNames>
    <definedName name="AASDFAWER" localSheetId="3">#REF!</definedName>
    <definedName name="AASDFAWER" localSheetId="2">#REF!</definedName>
    <definedName name="AASDFAWER">#REF!</definedName>
    <definedName name="_xlnm.Print_Area" localSheetId="2">'Informação geral'!$A$1:$J$166</definedName>
    <definedName name="ASDFASDF" localSheetId="3">#REF!</definedName>
    <definedName name="ASDFASDF" localSheetId="2">#REF!</definedName>
    <definedName name="ASDFASDF">#REF!</definedName>
    <definedName name="ASFASDFA" localSheetId="3">#REF!</definedName>
    <definedName name="ASFASDFA" localSheetId="2">#REF!</definedName>
    <definedName name="ASFASDFA">#REF!</definedName>
    <definedName name="CAL" localSheetId="3">#REF!</definedName>
    <definedName name="CAL" localSheetId="2">#REF!</definedName>
    <definedName name="CAL">#REF!</definedName>
    <definedName name="Calidad_agua" localSheetId="3">#REF!</definedName>
    <definedName name="Calidad_agua" localSheetId="2">#REF!</definedName>
    <definedName name="Calidad_agua">#REF!</definedName>
    <definedName name="CALIDADAD" localSheetId="3">#REF!</definedName>
    <definedName name="CALIDADAD" localSheetId="2">#REF!</definedName>
    <definedName name="CALIDADAD">#REF!</definedName>
    <definedName name="dureza" localSheetId="3">#REF!</definedName>
    <definedName name="dureza" localSheetId="2">#REF!</definedName>
    <definedName name="dureza">#REF!</definedName>
    <definedName name="presion" localSheetId="3">#REF!</definedName>
    <definedName name="presion" localSheetId="2">#REF!</definedName>
    <definedName name="presion">#REF!</definedName>
    <definedName name="renovacion" localSheetId="3">#REF!</definedName>
    <definedName name="renovacion" localSheetId="2">#REF!</definedName>
    <definedName name="renovacion">#REF!</definedName>
    <definedName name="solido" localSheetId="3">#REF!</definedName>
    <definedName name="solido" localSheetId="2">#REF!</definedName>
    <definedName name="solido">#REF!</definedName>
    <definedName name="xcvb" localSheetId="3">#REF!</definedName>
    <definedName name="xcvb" localSheetId="2">#REF!</definedName>
    <definedName name="xcvb">#REF!</definedName>
  </definedNames>
  <calcPr calcId="191029"/>
</workbook>
</file>

<file path=xl/calcChain.xml><?xml version="1.0" encoding="utf-8"?>
<calcChain xmlns="http://schemas.openxmlformats.org/spreadsheetml/2006/main">
  <c r="C34" i="8" l="1"/>
  <c r="H1" i="13" l="1"/>
  <c r="U20" i="8" l="1"/>
  <c r="U19" i="8"/>
  <c r="C134" i="7"/>
  <c r="C135" i="7"/>
  <c r="C136" i="7"/>
  <c r="C133" i="7"/>
  <c r="J6" i="9" l="1"/>
  <c r="C17" i="9" l="1"/>
  <c r="J5" i="9"/>
  <c r="G34" i="8"/>
  <c r="H34" i="8" s="1"/>
  <c r="I20" i="8"/>
  <c r="J20" i="8"/>
  <c r="K20" i="8"/>
  <c r="K19" i="8"/>
  <c r="J19" i="8"/>
  <c r="I19" i="8"/>
  <c r="C163" i="7" l="1"/>
  <c r="C162" i="7"/>
  <c r="C161" i="7"/>
  <c r="C160" i="7"/>
  <c r="C154" i="7"/>
  <c r="C153" i="7"/>
  <c r="C152" i="7"/>
  <c r="C151" i="7"/>
  <c r="C145" i="7"/>
  <c r="C144" i="7"/>
  <c r="C143" i="7"/>
  <c r="C142" i="7"/>
  <c r="E105" i="7" l="1"/>
  <c r="I104" i="7"/>
  <c r="E99" i="7"/>
  <c r="E89" i="7"/>
  <c r="I88" i="7"/>
  <c r="E83" i="7"/>
  <c r="I73" i="7"/>
  <c r="E72" i="7"/>
  <c r="I71" i="7"/>
  <c r="I66" i="7"/>
  <c r="E65" i="7"/>
  <c r="E59" i="7"/>
  <c r="I44" i="7"/>
  <c r="E43" i="7"/>
  <c r="I42" i="7"/>
  <c r="I37" i="7"/>
  <c r="E36" i="7"/>
  <c r="I35" i="7"/>
  <c r="E29" i="7"/>
</calcChain>
</file>

<file path=xl/sharedStrings.xml><?xml version="1.0" encoding="utf-8"?>
<sst xmlns="http://schemas.openxmlformats.org/spreadsheetml/2006/main" count="2210" uniqueCount="194">
  <si>
    <t>CONTADORES DOMESTICOS CONSUMO - IDADE</t>
  </si>
  <si>
    <t>&lt;5</t>
  </si>
  <si>
    <t>5-15</t>
  </si>
  <si>
    <t>15-25</t>
  </si>
  <si>
    <t>25-35</t>
  </si>
  <si>
    <t>35-50</t>
  </si>
  <si>
    <t>&gt;50</t>
  </si>
  <si>
    <t>5-10</t>
  </si>
  <si>
    <t>10-15</t>
  </si>
  <si>
    <t>15-20</t>
  </si>
  <si>
    <t>20-25</t>
  </si>
  <si>
    <t>&gt;25</t>
  </si>
  <si>
    <t>IDADE</t>
  </si>
  <si>
    <t>DN 13/15   ---------     Qn = 1.5 m3/h o Q3 &lt;= 2.5 m3/h</t>
  </si>
  <si>
    <t>NUMERO CONTADORES</t>
  </si>
  <si>
    <t>SUMA CONSUMOS MENSUALES PROMEDIO</t>
  </si>
  <si>
    <t>DN 20    ---------     Qn = 2.5 m3/h o Q3 = 4 m3/h</t>
  </si>
  <si>
    <t>DN 25    ---------     Qn = 3.5 m3/h o Q3 = 6.3 m3/h</t>
  </si>
  <si>
    <t>DN 30/32     ---------     Qn = 5 m3/h o Qn = 6 m3/h o Q3 = 10 m3/h</t>
  </si>
  <si>
    <t>DN 40    ---------     Qn = 10 m3/h o Q3 = 16 m3/h</t>
  </si>
  <si>
    <t>&lt;20</t>
  </si>
  <si>
    <t>20-40</t>
  </si>
  <si>
    <t>40-60</t>
  </si>
  <si>
    <t>60-80</t>
  </si>
  <si>
    <t>80-100</t>
  </si>
  <si>
    <t>&gt;100</t>
  </si>
  <si>
    <t>&lt;25</t>
  </si>
  <si>
    <t>25-50</t>
  </si>
  <si>
    <t>50-75</t>
  </si>
  <si>
    <t>75-100</t>
  </si>
  <si>
    <t>100-125</t>
  </si>
  <si>
    <t>&gt;125</t>
  </si>
  <si>
    <t>&lt;50</t>
  </si>
  <si>
    <t>50-100</t>
  </si>
  <si>
    <t>100-150</t>
  </si>
  <si>
    <t>150-200</t>
  </si>
  <si>
    <t>200-250</t>
  </si>
  <si>
    <t>&gt;250</t>
  </si>
  <si>
    <t>&lt;75</t>
  </si>
  <si>
    <t>75-150</t>
  </si>
  <si>
    <t>150-225</t>
  </si>
  <si>
    <t>225-300</t>
  </si>
  <si>
    <t>300-375</t>
  </si>
  <si>
    <t>&gt;375</t>
  </si>
  <si>
    <t>&lt;250</t>
  </si>
  <si>
    <t>250-500</t>
  </si>
  <si>
    <t>500-750</t>
  </si>
  <si>
    <t>750-1000</t>
  </si>
  <si>
    <t>DN 50    ---------     Qn = 15 m3/h o Q3 = 25 m3/h</t>
  </si>
  <si>
    <t>DN 65</t>
  </si>
  <si>
    <t>DN80</t>
  </si>
  <si>
    <t>DN100</t>
  </si>
  <si>
    <t>1000-2000</t>
  </si>
  <si>
    <t>&gt;4000</t>
  </si>
  <si>
    <t>2000-3000</t>
  </si>
  <si>
    <t>3000-4000</t>
  </si>
  <si>
    <t>500-1000</t>
  </si>
  <si>
    <t>&lt;500</t>
  </si>
  <si>
    <t>&gt;6000</t>
  </si>
  <si>
    <t>2000-4000</t>
  </si>
  <si>
    <t>4000-6000</t>
  </si>
  <si>
    <t>1000-2500</t>
  </si>
  <si>
    <t>&gt;2500</t>
  </si>
  <si>
    <t>1000-1500</t>
  </si>
  <si>
    <t>&gt;1500</t>
  </si>
  <si>
    <t>CARACTERÍSTICAS DA REDE</t>
  </si>
  <si>
    <t>Percentagem de tempo de pressurização do sistema</t>
  </si>
  <si>
    <t>24h/dia</t>
  </si>
  <si>
    <t>Qualidade da água</t>
  </si>
  <si>
    <t>Dureza</t>
  </si>
  <si>
    <t>Presença de sólidos em suspensão</t>
  </si>
  <si>
    <t>Não</t>
  </si>
  <si>
    <t>Pressão média da rede</t>
  </si>
  <si>
    <t>Sazonalidade do consumo</t>
  </si>
  <si>
    <t>INFORMAÇÃO SOBRE O PARQUE DE CONTADORES</t>
  </si>
  <si>
    <t>Domésticos</t>
  </si>
  <si>
    <t>Critério para aquisição de novos contadores</t>
  </si>
  <si>
    <t>Baseado na experiência, sem estudo do padrão de consumo</t>
  </si>
  <si>
    <t>% do total de contadores</t>
  </si>
  <si>
    <t>Melhor oferta económica</t>
  </si>
  <si>
    <t>Baseado na análise do parque de contadores</t>
  </si>
  <si>
    <t>Local de instalação de contadores</t>
  </si>
  <si>
    <t>Interior do edifício</t>
  </si>
  <si>
    <t>Bateria em zona comum</t>
  </si>
  <si>
    <t>Interior da habitação</t>
  </si>
  <si>
    <t>Exterior à habitação</t>
  </si>
  <si>
    <t>Exterior do edifício</t>
  </si>
  <si>
    <t xml:space="preserve">Protegido </t>
  </si>
  <si>
    <t>Não protegido</t>
  </si>
  <si>
    <t>Classe metrológica</t>
  </si>
  <si>
    <t>Classe B ou R&lt;125</t>
  </si>
  <si>
    <t>Velocidade-Monojato</t>
  </si>
  <si>
    <t>Velocidade-Multijato</t>
  </si>
  <si>
    <t>Classe C ouó R&gt;125</t>
  </si>
  <si>
    <t>Volumétrico</t>
  </si>
  <si>
    <t>Controlo de qualidade pela entidade gestora aquando da receção de contadores novos</t>
  </si>
  <si>
    <t>Ensaios em amostras de contadores escolhidas aleatoriamente pela entidade</t>
  </si>
  <si>
    <t>Comercial</t>
  </si>
  <si>
    <t>% del total de contadores</t>
  </si>
  <si>
    <t>Industrial</t>
  </si>
  <si>
    <t>Reservatório domiciliário</t>
  </si>
  <si>
    <t>Regulado com válvula de flutuador</t>
  </si>
  <si>
    <t>Regulado com válvula de seccionamento</t>
  </si>
  <si>
    <t>Com ligação direta à rede</t>
  </si>
  <si>
    <t>Outras categorias (colectivo, obras ,rego, etc.)</t>
  </si>
  <si>
    <t>PARÂMETROS ECONÓMICOS</t>
  </si>
  <si>
    <t xml:space="preserve">Custo dos contadores </t>
  </si>
  <si>
    <t>Aquisição</t>
  </si>
  <si>
    <t>Instalação</t>
  </si>
  <si>
    <t>Administrativo</t>
  </si>
  <si>
    <t>DN 20</t>
  </si>
  <si>
    <t>DN 25</t>
  </si>
  <si>
    <t>DN 30</t>
  </si>
  <si>
    <t>DN 40</t>
  </si>
  <si>
    <t>DN 50</t>
  </si>
  <si>
    <t>DN 80</t>
  </si>
  <si>
    <t>DN 100</t>
  </si>
  <si>
    <r>
      <t>Preço da água (€/m</t>
    </r>
    <r>
      <rPr>
        <b/>
        <vertAlign val="superscript"/>
        <sz val="14"/>
        <color theme="1"/>
        <rFont val="Calibri"/>
        <family val="2"/>
        <scheme val="minor"/>
      </rPr>
      <t>3</t>
    </r>
    <r>
      <rPr>
        <b/>
        <sz val="14"/>
        <color theme="1"/>
        <rFont val="Calibri"/>
        <family val="2"/>
        <scheme val="minor"/>
      </rPr>
      <t>)</t>
    </r>
  </si>
  <si>
    <t>Doméstico</t>
  </si>
  <si>
    <t>Outras categorias</t>
  </si>
  <si>
    <t>Normal 1-6 bar</t>
  </si>
  <si>
    <r>
      <t>Consumo mensal mínimo (m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/mes)</t>
    </r>
  </si>
  <si>
    <r>
      <t>Consumo mensal maximo (m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/mes)</t>
    </r>
  </si>
  <si>
    <t>-</t>
  </si>
  <si>
    <t>CONTADORES INDUSTRIAL CONSUMO - IDADE</t>
  </si>
  <si>
    <t>CONTADORES OTROS CONSUMO - IDADE</t>
  </si>
  <si>
    <t>CONTADORES COMERCIAL CONSUMO - IDADE</t>
  </si>
  <si>
    <t>&lt;200</t>
  </si>
  <si>
    <t>200-500</t>
  </si>
  <si>
    <t>DN15</t>
  </si>
  <si>
    <t>DN20</t>
  </si>
  <si>
    <t>DN25</t>
  </si>
  <si>
    <t>DN30</t>
  </si>
  <si>
    <t>DN40</t>
  </si>
  <si>
    <t>DN50</t>
  </si>
  <si>
    <t>DN65</t>
  </si>
  <si>
    <t>Bajo</t>
  </si>
  <si>
    <t>Medio</t>
  </si>
  <si>
    <t>Alto</t>
  </si>
  <si>
    <t>Error inicial</t>
  </si>
  <si>
    <t>Volumetrico</t>
  </si>
  <si>
    <t>Velocidad C</t>
  </si>
  <si>
    <t>Peso</t>
  </si>
  <si>
    <t>m3/año</t>
  </si>
  <si>
    <t>V</t>
  </si>
  <si>
    <t>€/m3</t>
  </si>
  <si>
    <t>Degrada</t>
  </si>
  <si>
    <t>Error global</t>
  </si>
  <si>
    <t>DN13/15</t>
  </si>
  <si>
    <t>Infradimensionado</t>
  </si>
  <si>
    <t>Sobredimensionado</t>
  </si>
  <si>
    <t>A sustituir</t>
  </si>
  <si>
    <t>SOMA DOS CONSUMOS MÉDIOS MENSAIS</t>
  </si>
  <si>
    <t>NUMERO CONTADORES COM LEITURA ZERO</t>
  </si>
  <si>
    <t>Volumen registrado</t>
  </si>
  <si>
    <t>Numero</t>
  </si>
  <si>
    <t>Numero ceros</t>
  </si>
  <si>
    <t>Error total</t>
  </si>
  <si>
    <t>Suposicion parados lectura cero</t>
  </si>
  <si>
    <t>Autor:</t>
  </si>
  <si>
    <t>Francisco Arregui</t>
  </si>
  <si>
    <t>Version:</t>
  </si>
  <si>
    <t>Contacto:</t>
  </si>
  <si>
    <t>farregui @ ita.upv.es</t>
  </si>
  <si>
    <t>Información Degradación Error</t>
  </si>
  <si>
    <t>Velocidad Clase B o Equivalente</t>
  </si>
  <si>
    <t>Degradación a utilizar</t>
  </si>
  <si>
    <t>Error inicial a utilizar</t>
  </si>
  <si>
    <t>Estimación manual de la vida util de un contador</t>
  </si>
  <si>
    <t>Consumo</t>
  </si>
  <si>
    <t>Coste inicial</t>
  </si>
  <si>
    <t>Agua</t>
  </si>
  <si>
    <t>€</t>
  </si>
  <si>
    <t>Vida util</t>
  </si>
  <si>
    <t>DN13/DN15</t>
  </si>
  <si>
    <t>Error</t>
  </si>
  <si>
    <t>DN</t>
  </si>
  <si>
    <t>Monthly consumption</t>
  </si>
  <si>
    <t>Age</t>
  </si>
  <si>
    <t>DOM</t>
  </si>
  <si>
    <t>COM</t>
  </si>
  <si>
    <t>IND</t>
  </si>
  <si>
    <t>Activity (DOM - COM - IND - OTHER)</t>
  </si>
  <si>
    <t>Importacion de datos</t>
  </si>
  <si>
    <t>DN incorrecto</t>
  </si>
  <si>
    <t>Actividad incorrecta</t>
  </si>
  <si>
    <t>Rango consumo mensual incorrecto</t>
  </si>
  <si>
    <t>Edad incorrecta</t>
  </si>
  <si>
    <t>OTHER</t>
  </si>
  <si>
    <t>Contadores:</t>
  </si>
  <si>
    <t>Importados</t>
  </si>
  <si>
    <t>v1.005</t>
  </si>
  <si>
    <t>Média 180-60 mg/l</t>
  </si>
  <si>
    <t>Sazonalidade acentuada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</si>
</sst>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\ _€_-;\-* #,##0.00\ _€_-;_-* &quot;-&quot;??\ _€_-;_-@_-"/>
    <numFmt numFmtId="164" formatCode="#,##0.0\ &quot;€&quot;"/>
    <numFmt numFmtId="165" formatCode="0.0"/>
    <numFmt numFmtId="166" formatCode="0.0%"/>
    <numFmt numFmtId="167" formatCode="0.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2"/>
      <name val="Calibri"/>
      <family val="2"/>
      <scheme val="minor"/>
    </font>
    <font>
      <b/>
      <vertAlign val="superscript"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1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249">
    <xf numFmtId="0" fontId="0" fillId="0" borderId="0" xfId="0"/>
    <xf numFmtId="0" fontId="1" fillId="2" borderId="0" xfId="0" applyFon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3" borderId="0" xfId="0" applyFill="1"/>
    <xf numFmtId="0" fontId="2" fillId="0" borderId="0" xfId="0" applyFont="1" applyBorder="1" applyAlignment="1" applyProtection="1">
      <alignment horizontal="left"/>
    </xf>
    <xf numFmtId="0" fontId="2" fillId="0" borderId="0" xfId="0" applyFont="1" applyProtection="1"/>
    <xf numFmtId="0" fontId="2" fillId="0" borderId="0" xfId="0" applyFont="1" applyFill="1" applyProtection="1"/>
    <xf numFmtId="0" fontId="9" fillId="8" borderId="0" xfId="0" applyFont="1" applyFill="1" applyBorder="1" applyAlignment="1" applyProtection="1">
      <alignment horizontal="left"/>
    </xf>
    <xf numFmtId="0" fontId="2" fillId="8" borderId="0" xfId="0" applyFont="1" applyFill="1" applyBorder="1" applyAlignment="1" applyProtection="1">
      <alignment horizontal="left"/>
    </xf>
    <xf numFmtId="0" fontId="7" fillId="0" borderId="0" xfId="0" applyFont="1" applyBorder="1" applyAlignment="1" applyProtection="1">
      <alignment horizontal="left"/>
    </xf>
    <xf numFmtId="9" fontId="7" fillId="2" borderId="0" xfId="1" applyFont="1" applyFill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center"/>
    </xf>
    <xf numFmtId="9" fontId="2" fillId="0" borderId="0" xfId="0" applyNumberFormat="1" applyFont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2" fillId="0" borderId="0" xfId="0" applyFont="1" applyFill="1" applyBorder="1" applyAlignment="1" applyProtection="1">
      <alignment horizontal="left"/>
    </xf>
    <xf numFmtId="9" fontId="2" fillId="0" borderId="0" xfId="1" applyFont="1" applyFill="1" applyBorder="1" applyAlignment="1" applyProtection="1">
      <alignment horizontal="left"/>
    </xf>
    <xf numFmtId="0" fontId="7" fillId="2" borderId="0" xfId="0" applyFont="1" applyFill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center"/>
    </xf>
    <xf numFmtId="0" fontId="7" fillId="0" borderId="0" xfId="0" applyFont="1" applyBorder="1" applyAlignment="1" applyProtection="1">
      <alignment horizontal="left" wrapText="1"/>
    </xf>
    <xf numFmtId="0" fontId="7" fillId="2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left"/>
    </xf>
    <xf numFmtId="0" fontId="11" fillId="8" borderId="0" xfId="0" applyFont="1" applyFill="1" applyBorder="1" applyAlignment="1" applyProtection="1">
      <alignment horizontal="left"/>
    </xf>
    <xf numFmtId="0" fontId="12" fillId="2" borderId="0" xfId="0" applyFont="1" applyFill="1" applyBorder="1" applyAlignment="1" applyProtection="1">
      <protection locked="0"/>
    </xf>
    <xf numFmtId="49" fontId="2" fillId="0" borderId="0" xfId="0" applyNumberFormat="1" applyFont="1" applyFill="1" applyBorder="1" applyAlignment="1" applyProtection="1">
      <alignment horizontal="left"/>
    </xf>
    <xf numFmtId="0" fontId="7" fillId="0" borderId="0" xfId="0" applyFont="1" applyProtection="1"/>
    <xf numFmtId="0" fontId="2" fillId="9" borderId="0" xfId="0" applyFont="1" applyFill="1" applyBorder="1" applyAlignment="1" applyProtection="1"/>
    <xf numFmtId="0" fontId="2" fillId="0" borderId="0" xfId="0" applyFont="1" applyFill="1" applyBorder="1" applyAlignment="1" applyProtection="1"/>
    <xf numFmtId="0" fontId="7" fillId="0" borderId="0" xfId="0" applyFont="1" applyBorder="1" applyProtection="1"/>
    <xf numFmtId="0" fontId="7" fillId="0" borderId="0" xfId="0" applyFont="1" applyFill="1" applyBorder="1" applyAlignment="1" applyProtection="1"/>
    <xf numFmtId="0" fontId="7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Protection="1"/>
    <xf numFmtId="9" fontId="7" fillId="0" borderId="0" xfId="0" applyNumberFormat="1" applyFont="1" applyFill="1" applyBorder="1" applyAlignment="1" applyProtection="1">
      <alignment horizontal="center"/>
    </xf>
    <xf numFmtId="0" fontId="6" fillId="0" borderId="0" xfId="0" applyFont="1" applyProtection="1"/>
    <xf numFmtId="0" fontId="7" fillId="0" borderId="9" xfId="0" applyFont="1" applyBorder="1" applyAlignment="1" applyProtection="1">
      <alignment horizontal="center" vertical="center"/>
    </xf>
    <xf numFmtId="9" fontId="7" fillId="2" borderId="10" xfId="1" applyFont="1" applyFill="1" applyBorder="1" applyAlignment="1" applyProtection="1">
      <alignment horizontal="center" vertical="center"/>
      <protection locked="0"/>
    </xf>
    <xf numFmtId="0" fontId="7" fillId="0" borderId="10" xfId="0" applyFont="1" applyBorder="1" applyAlignment="1" applyProtection="1">
      <alignment horizontal="left"/>
    </xf>
    <xf numFmtId="0" fontId="7" fillId="0" borderId="10" xfId="0" applyFont="1" applyBorder="1" applyAlignment="1" applyProtection="1">
      <alignment horizontal="center"/>
    </xf>
    <xf numFmtId="9" fontId="7" fillId="2" borderId="11" xfId="1" applyFont="1" applyFill="1" applyBorder="1" applyAlignment="1" applyProtection="1">
      <alignment horizontal="center"/>
      <protection locked="0"/>
    </xf>
    <xf numFmtId="9" fontId="6" fillId="0" borderId="0" xfId="0" quotePrefix="1" applyNumberFormat="1" applyFont="1" applyProtection="1"/>
    <xf numFmtId="0" fontId="7" fillId="0" borderId="12" xfId="0" applyFont="1" applyBorder="1" applyAlignment="1" applyProtection="1">
      <alignment horizontal="center" vertical="center"/>
    </xf>
    <xf numFmtId="9" fontId="7" fillId="0" borderId="0" xfId="1" applyFont="1" applyFill="1" applyBorder="1" applyAlignment="1" applyProtection="1">
      <alignment vertical="center"/>
    </xf>
    <xf numFmtId="9" fontId="7" fillId="2" borderId="13" xfId="1" applyFont="1" applyFill="1" applyBorder="1" applyAlignment="1" applyProtection="1">
      <alignment horizontal="center"/>
      <protection locked="0"/>
    </xf>
    <xf numFmtId="0" fontId="7" fillId="0" borderId="14" xfId="0" applyFont="1" applyBorder="1" applyAlignment="1" applyProtection="1">
      <alignment horizontal="center" vertical="center"/>
    </xf>
    <xf numFmtId="9" fontId="7" fillId="0" borderId="15" xfId="1" applyFont="1" applyFill="1" applyBorder="1" applyAlignment="1" applyProtection="1">
      <alignment vertical="center"/>
    </xf>
    <xf numFmtId="0" fontId="7" fillId="0" borderId="15" xfId="0" applyFont="1" applyBorder="1" applyAlignment="1" applyProtection="1">
      <alignment horizontal="left"/>
    </xf>
    <xf numFmtId="0" fontId="7" fillId="0" borderId="15" xfId="0" applyFont="1" applyBorder="1" applyAlignment="1" applyProtection="1">
      <alignment horizontal="center"/>
    </xf>
    <xf numFmtId="9" fontId="12" fillId="0" borderId="16" xfId="1" applyFont="1" applyFill="1" applyBorder="1" applyAlignment="1" applyProtection="1">
      <alignment horizontal="center"/>
    </xf>
    <xf numFmtId="9" fontId="7" fillId="0" borderId="10" xfId="1" applyFont="1" applyFill="1" applyBorder="1" applyAlignment="1" applyProtection="1">
      <alignment horizontal="center" vertical="center"/>
    </xf>
    <xf numFmtId="9" fontId="7" fillId="0" borderId="16" xfId="1" applyFont="1" applyFill="1" applyBorder="1" applyAlignment="1" applyProtection="1">
      <alignment horizontal="center"/>
    </xf>
    <xf numFmtId="9" fontId="7" fillId="0" borderId="0" xfId="1" applyFont="1" applyFill="1" applyBorder="1" applyAlignment="1" applyProtection="1">
      <alignment horizontal="center"/>
    </xf>
    <xf numFmtId="0" fontId="0" fillId="0" borderId="0" xfId="0" applyBorder="1" applyProtection="1"/>
    <xf numFmtId="0" fontId="7" fillId="0" borderId="9" xfId="0" applyFont="1" applyFill="1" applyBorder="1" applyAlignment="1" applyProtection="1">
      <alignment horizontal="center" vertical="center"/>
    </xf>
    <xf numFmtId="0" fontId="7" fillId="0" borderId="10" xfId="0" applyFont="1" applyFill="1" applyBorder="1" applyAlignment="1" applyProtection="1">
      <alignment horizontal="left"/>
    </xf>
    <xf numFmtId="0" fontId="0" fillId="0" borderId="10" xfId="0" applyBorder="1" applyProtection="1"/>
    <xf numFmtId="0" fontId="7" fillId="0" borderId="0" xfId="0" applyFont="1" applyFill="1" applyBorder="1" applyAlignment="1" applyProtection="1">
      <alignment horizontal="center" vertical="center"/>
    </xf>
    <xf numFmtId="0" fontId="7" fillId="0" borderId="12" xfId="0" applyFont="1" applyFill="1" applyBorder="1" applyAlignment="1" applyProtection="1">
      <alignment horizontal="center" vertical="center"/>
    </xf>
    <xf numFmtId="9" fontId="7" fillId="3" borderId="13" xfId="1" applyFont="1" applyFill="1" applyBorder="1" applyAlignment="1" applyProtection="1">
      <alignment horizontal="center"/>
    </xf>
    <xf numFmtId="0" fontId="7" fillId="0" borderId="9" xfId="0" applyFont="1" applyFill="1" applyBorder="1" applyAlignment="1" applyProtection="1">
      <alignment horizontal="center"/>
    </xf>
    <xf numFmtId="9" fontId="7" fillId="3" borderId="10" xfId="0" applyNumberFormat="1" applyFont="1" applyFill="1" applyBorder="1" applyAlignment="1" applyProtection="1">
      <alignment horizontal="center" vertical="center"/>
    </xf>
    <xf numFmtId="0" fontId="7" fillId="0" borderId="14" xfId="0" applyFont="1" applyBorder="1" applyAlignment="1" applyProtection="1">
      <alignment horizontal="left"/>
    </xf>
    <xf numFmtId="9" fontId="7" fillId="3" borderId="15" xfId="0" applyNumberFormat="1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left"/>
    </xf>
    <xf numFmtId="0" fontId="0" fillId="0" borderId="15" xfId="0" applyBorder="1" applyProtection="1"/>
    <xf numFmtId="9" fontId="7" fillId="3" borderId="16" xfId="1" applyFont="1" applyFill="1" applyBorder="1" applyAlignment="1" applyProtection="1">
      <alignment horizontal="center"/>
    </xf>
    <xf numFmtId="0" fontId="2" fillId="9" borderId="0" xfId="0" applyFont="1" applyFill="1" applyAlignment="1" applyProtection="1"/>
    <xf numFmtId="0" fontId="0" fillId="9" borderId="0" xfId="0" applyFill="1" applyProtection="1"/>
    <xf numFmtId="0" fontId="0" fillId="0" borderId="0" xfId="0" applyFill="1" applyAlignment="1" applyProtection="1"/>
    <xf numFmtId="0" fontId="7" fillId="2" borderId="0" xfId="0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wrapText="1"/>
    </xf>
    <xf numFmtId="0" fontId="12" fillId="0" borderId="15" xfId="0" applyFont="1" applyBorder="1" applyAlignment="1" applyProtection="1">
      <alignment horizontal="left"/>
    </xf>
    <xf numFmtId="0" fontId="0" fillId="0" borderId="15" xfId="0" applyBorder="1" applyAlignment="1" applyProtection="1">
      <alignment horizontal="center"/>
    </xf>
    <xf numFmtId="0" fontId="10" fillId="0" borderId="0" xfId="0" quotePrefix="1" applyFont="1" applyFill="1" applyBorder="1" applyAlignment="1" applyProtection="1">
      <alignment horizontal="left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7" xfId="0" applyFont="1" applyFill="1" applyBorder="1" applyAlignment="1" applyProtection="1">
      <alignment horizontal="center" vertical="center"/>
    </xf>
    <xf numFmtId="9" fontId="7" fillId="0" borderId="18" xfId="1" applyFont="1" applyFill="1" applyBorder="1" applyAlignment="1" applyProtection="1">
      <alignment horizontal="center" vertical="center"/>
    </xf>
    <xf numFmtId="0" fontId="7" fillId="0" borderId="18" xfId="0" applyFont="1" applyFill="1" applyBorder="1" applyAlignment="1" applyProtection="1">
      <alignment horizontal="left"/>
    </xf>
    <xf numFmtId="0" fontId="7" fillId="0" borderId="18" xfId="0" applyFont="1" applyFill="1" applyBorder="1" applyAlignment="1" applyProtection="1">
      <alignment horizontal="center"/>
    </xf>
    <xf numFmtId="9" fontId="7" fillId="0" borderId="19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 vertical="center"/>
    </xf>
    <xf numFmtId="9" fontId="7" fillId="0" borderId="0" xfId="1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7" fillId="0" borderId="0" xfId="0" applyFont="1" applyAlignment="1" applyProtection="1">
      <alignment horizontal="right"/>
    </xf>
    <xf numFmtId="164" fontId="12" fillId="2" borderId="0" xfId="0" applyNumberFormat="1" applyFont="1" applyFill="1" applyAlignment="1" applyProtection="1">
      <alignment horizontal="center"/>
      <protection locked="0"/>
    </xf>
    <xf numFmtId="165" fontId="7" fillId="0" borderId="0" xfId="1" applyNumberFormat="1" applyFont="1" applyAlignment="1" applyProtection="1">
      <alignment horizontal="center"/>
    </xf>
    <xf numFmtId="1" fontId="7" fillId="0" borderId="0" xfId="0" applyNumberFormat="1" applyFont="1" applyAlignment="1" applyProtection="1">
      <alignment horizontal="center"/>
    </xf>
    <xf numFmtId="0" fontId="9" fillId="10" borderId="0" xfId="0" applyFont="1" applyFill="1" applyAlignment="1" applyProtection="1">
      <alignment horizontal="left"/>
    </xf>
    <xf numFmtId="0" fontId="2" fillId="10" borderId="0" xfId="0" applyFont="1" applyFill="1" applyBorder="1" applyAlignment="1" applyProtection="1"/>
    <xf numFmtId="0" fontId="2" fillId="9" borderId="0" xfId="0" applyFont="1" applyFill="1" applyProtection="1"/>
    <xf numFmtId="0" fontId="14" fillId="0" borderId="0" xfId="0" applyFont="1" applyAlignment="1" applyProtection="1">
      <alignment horizontal="right"/>
    </xf>
    <xf numFmtId="0" fontId="14" fillId="0" borderId="0" xfId="0" applyFont="1" applyAlignment="1" applyProtection="1">
      <alignment horizontal="center"/>
    </xf>
    <xf numFmtId="17" fontId="0" fillId="0" borderId="0" xfId="0" applyNumberFormat="1" applyProtection="1"/>
    <xf numFmtId="0" fontId="0" fillId="0" borderId="0" xfId="0" applyFill="1" applyProtection="1"/>
    <xf numFmtId="0" fontId="14" fillId="0" borderId="0" xfId="0" applyFont="1" applyProtection="1"/>
    <xf numFmtId="0" fontId="0" fillId="0" borderId="0" xfId="0" applyFont="1"/>
    <xf numFmtId="0" fontId="1" fillId="0" borderId="0" xfId="0" applyFont="1" applyFill="1"/>
    <xf numFmtId="0" fontId="0" fillId="0" borderId="0" xfId="0" applyFont="1" applyFill="1"/>
    <xf numFmtId="9" fontId="7" fillId="3" borderId="11" xfId="1" applyFont="1" applyFill="1" applyBorder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10" fontId="0" fillId="3" borderId="0" xfId="1" applyNumberFormat="1" applyFont="1" applyFill="1"/>
    <xf numFmtId="10" fontId="0" fillId="3" borderId="0" xfId="0" applyNumberFormat="1" applyFill="1" applyAlignment="1">
      <alignment horizontal="center"/>
    </xf>
    <xf numFmtId="0" fontId="16" fillId="3" borderId="0" xfId="0" applyFont="1" applyFill="1" applyAlignment="1">
      <alignment horizontal="center"/>
    </xf>
    <xf numFmtId="9" fontId="0" fillId="3" borderId="0" xfId="0" applyNumberFormat="1" applyFill="1" applyBorder="1" applyAlignment="1">
      <alignment horizontal="center"/>
    </xf>
    <xf numFmtId="9" fontId="0" fillId="3" borderId="13" xfId="0" applyNumberFormat="1" applyFill="1" applyBorder="1" applyAlignment="1">
      <alignment horizontal="center"/>
    </xf>
    <xf numFmtId="9" fontId="0" fillId="3" borderId="15" xfId="1" applyFont="1" applyFill="1" applyBorder="1" applyAlignment="1">
      <alignment horizontal="center"/>
    </xf>
    <xf numFmtId="9" fontId="0" fillId="3" borderId="16" xfId="1" applyFont="1" applyFill="1" applyBorder="1" applyAlignment="1">
      <alignment horizontal="center"/>
    </xf>
    <xf numFmtId="166" fontId="0" fillId="3" borderId="0" xfId="1" applyNumberFormat="1" applyFont="1" applyFill="1" applyAlignment="1">
      <alignment horizontal="center"/>
    </xf>
    <xf numFmtId="166" fontId="0" fillId="3" borderId="0" xfId="1" applyNumberFormat="1" applyFont="1" applyFill="1"/>
    <xf numFmtId="2" fontId="0" fillId="3" borderId="0" xfId="0" applyNumberFormat="1" applyFill="1" applyAlignment="1">
      <alignment horizontal="center"/>
    </xf>
    <xf numFmtId="49" fontId="1" fillId="2" borderId="0" xfId="0" applyNumberFormat="1" applyFont="1" applyFill="1" applyAlignment="1">
      <alignment horizontal="right"/>
    </xf>
    <xf numFmtId="0" fontId="0" fillId="2" borderId="0" xfId="0" applyFill="1" applyAlignment="1">
      <alignment horizontal="center"/>
    </xf>
    <xf numFmtId="14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0" fontId="0" fillId="13" borderId="1" xfId="0" applyFill="1" applyBorder="1" applyProtection="1">
      <protection locked="0"/>
    </xf>
    <xf numFmtId="0" fontId="0" fillId="13" borderId="2" xfId="0" applyFill="1" applyBorder="1" applyProtection="1">
      <protection locked="0"/>
    </xf>
    <xf numFmtId="0" fontId="0" fillId="12" borderId="2" xfId="0" applyFill="1" applyBorder="1" applyProtection="1">
      <protection locked="0"/>
    </xf>
    <xf numFmtId="0" fontId="0" fillId="12" borderId="3" xfId="0" applyFill="1" applyBorder="1" applyProtection="1">
      <protection locked="0"/>
    </xf>
    <xf numFmtId="0" fontId="0" fillId="13" borderId="4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1" borderId="0" xfId="0" applyFill="1" applyBorder="1" applyProtection="1">
      <protection locked="0"/>
    </xf>
    <xf numFmtId="0" fontId="0" fillId="11" borderId="5" xfId="0" applyFill="1" applyBorder="1" applyProtection="1">
      <protection locked="0"/>
    </xf>
    <xf numFmtId="0" fontId="0" fillId="12" borderId="4" xfId="0" applyFill="1" applyBorder="1" applyProtection="1">
      <protection locked="0"/>
    </xf>
    <xf numFmtId="0" fontId="0" fillId="11" borderId="6" xfId="0" applyFill="1" applyBorder="1" applyProtection="1">
      <protection locked="0"/>
    </xf>
    <xf numFmtId="0" fontId="0" fillId="11" borderId="7" xfId="0" applyFill="1" applyBorder="1" applyProtection="1">
      <protection locked="0"/>
    </xf>
    <xf numFmtId="0" fontId="0" fillId="11" borderId="8" xfId="0" applyFill="1" applyBorder="1" applyProtection="1">
      <protection locked="0"/>
    </xf>
    <xf numFmtId="43" fontId="0" fillId="3" borderId="1" xfId="2" applyFont="1" applyFill="1" applyBorder="1" applyProtection="1">
      <protection locked="0"/>
    </xf>
    <xf numFmtId="43" fontId="0" fillId="3" borderId="2" xfId="2" applyFont="1" applyFill="1" applyBorder="1" applyProtection="1">
      <protection locked="0"/>
    </xf>
    <xf numFmtId="43" fontId="0" fillId="3" borderId="3" xfId="2" applyFont="1" applyFill="1" applyBorder="1" applyProtection="1">
      <protection locked="0"/>
    </xf>
    <xf numFmtId="43" fontId="0" fillId="3" borderId="4" xfId="2" applyFont="1" applyFill="1" applyBorder="1" applyProtection="1">
      <protection locked="0"/>
    </xf>
    <xf numFmtId="43" fontId="0" fillId="3" borderId="0" xfId="2" applyFont="1" applyFill="1" applyBorder="1" applyProtection="1">
      <protection locked="0"/>
    </xf>
    <xf numFmtId="43" fontId="0" fillId="3" borderId="5" xfId="2" applyFont="1" applyFill="1" applyBorder="1" applyProtection="1">
      <protection locked="0"/>
    </xf>
    <xf numFmtId="43" fontId="0" fillId="3" borderId="6" xfId="2" applyFont="1" applyFill="1" applyBorder="1" applyProtection="1">
      <protection locked="0"/>
    </xf>
    <xf numFmtId="43" fontId="0" fillId="3" borderId="7" xfId="2" applyFont="1" applyFill="1" applyBorder="1" applyProtection="1">
      <protection locked="0"/>
    </xf>
    <xf numFmtId="43" fontId="0" fillId="3" borderId="8" xfId="2" applyFont="1" applyFill="1" applyBorder="1" applyProtection="1">
      <protection locked="0"/>
    </xf>
    <xf numFmtId="0" fontId="0" fillId="3" borderId="20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0" fillId="3" borderId="22" xfId="0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11" borderId="4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3" borderId="3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3" borderId="0" xfId="0" applyFill="1" applyProtection="1"/>
    <xf numFmtId="0" fontId="1" fillId="2" borderId="0" xfId="0" applyFont="1" applyFill="1" applyAlignment="1" applyProtection="1">
      <alignment horizontal="center"/>
    </xf>
    <xf numFmtId="49" fontId="1" fillId="2" borderId="0" xfId="0" applyNumberFormat="1" applyFont="1" applyFill="1" applyAlignment="1" applyProtection="1">
      <alignment horizontal="center"/>
    </xf>
    <xf numFmtId="2" fontId="0" fillId="3" borderId="0" xfId="0" applyNumberFormat="1" applyFill="1" applyProtection="1"/>
    <xf numFmtId="9" fontId="0" fillId="3" borderId="0" xfId="0" applyNumberFormat="1" applyFill="1" applyProtection="1"/>
    <xf numFmtId="10" fontId="0" fillId="3" borderId="0" xfId="0" applyNumberFormat="1" applyFill="1" applyProtection="1"/>
    <xf numFmtId="2" fontId="0" fillId="3" borderId="0" xfId="0" applyNumberFormat="1" applyFill="1" applyAlignment="1" applyProtection="1">
      <alignment horizontal="right"/>
    </xf>
    <xf numFmtId="10" fontId="0" fillId="3" borderId="0" xfId="1" applyNumberFormat="1" applyFont="1" applyFill="1" applyProtection="1"/>
    <xf numFmtId="43" fontId="0" fillId="3" borderId="0" xfId="0" applyNumberFormat="1" applyFill="1" applyProtection="1"/>
    <xf numFmtId="0" fontId="0" fillId="3" borderId="0" xfId="0" applyFill="1" applyBorder="1" applyProtection="1"/>
    <xf numFmtId="0" fontId="16" fillId="3" borderId="0" xfId="0" applyFont="1" applyFill="1" applyAlignment="1">
      <alignment horizontal="center"/>
    </xf>
    <xf numFmtId="9" fontId="0" fillId="3" borderId="0" xfId="0" applyNumberFormat="1" applyFill="1" applyAlignment="1" applyProtection="1">
      <alignment horizontal="center"/>
      <protection locked="0"/>
    </xf>
    <xf numFmtId="0" fontId="14" fillId="0" borderId="0" xfId="0" applyFont="1" applyAlignment="1" applyProtection="1">
      <alignment horizontal="right"/>
      <protection locked="0"/>
    </xf>
    <xf numFmtId="0" fontId="0" fillId="14" borderId="17" xfId="0" applyFill="1" applyBorder="1" applyAlignment="1">
      <alignment horizontal="center"/>
    </xf>
    <xf numFmtId="0" fontId="0" fillId="14" borderId="18" xfId="0" applyFill="1" applyBorder="1" applyAlignment="1">
      <alignment horizontal="center"/>
    </xf>
    <xf numFmtId="0" fontId="0" fillId="14" borderId="19" xfId="0" applyFill="1" applyBorder="1" applyAlignment="1">
      <alignment horizontal="center"/>
    </xf>
    <xf numFmtId="9" fontId="0" fillId="3" borderId="0" xfId="0" applyNumberFormat="1" applyFill="1" applyBorder="1" applyAlignment="1" applyProtection="1">
      <alignment horizontal="center"/>
    </xf>
    <xf numFmtId="9" fontId="0" fillId="3" borderId="13" xfId="0" applyNumberFormat="1" applyFill="1" applyBorder="1" applyAlignment="1" applyProtection="1">
      <alignment horizontal="center"/>
    </xf>
    <xf numFmtId="9" fontId="0" fillId="3" borderId="15" xfId="1" applyFont="1" applyFill="1" applyBorder="1" applyAlignment="1" applyProtection="1">
      <alignment horizontal="center"/>
    </xf>
    <xf numFmtId="9" fontId="0" fillId="3" borderId="16" xfId="1" applyFont="1" applyFill="1" applyBorder="1" applyAlignment="1" applyProtection="1">
      <alignment horizontal="center"/>
    </xf>
    <xf numFmtId="0" fontId="0" fillId="3" borderId="0" xfId="0" applyFill="1" applyAlignment="1" applyProtection="1">
      <alignment horizontal="center"/>
      <protection hidden="1"/>
    </xf>
    <xf numFmtId="167" fontId="0" fillId="3" borderId="0" xfId="0" applyNumberFormat="1" applyFill="1" applyAlignment="1" applyProtection="1">
      <alignment horizontal="center"/>
      <protection hidden="1"/>
    </xf>
    <xf numFmtId="0" fontId="2" fillId="3" borderId="0" xfId="0" applyFont="1" applyFill="1" applyAlignment="1">
      <alignment horizontal="center"/>
    </xf>
    <xf numFmtId="165" fontId="0" fillId="14" borderId="25" xfId="0" applyNumberFormat="1" applyFill="1" applyBorder="1" applyAlignment="1" applyProtection="1">
      <alignment horizontal="center"/>
      <protection hidden="1"/>
    </xf>
    <xf numFmtId="10" fontId="5" fillId="2" borderId="24" xfId="1" applyNumberFormat="1" applyFont="1" applyFill="1" applyBorder="1" applyAlignment="1" applyProtection="1">
      <alignment horizontal="center"/>
      <protection hidden="1"/>
    </xf>
    <xf numFmtId="10" fontId="2" fillId="2" borderId="23" xfId="1" applyNumberFormat="1" applyFont="1" applyFill="1" applyBorder="1" applyAlignment="1" applyProtection="1">
      <alignment horizontal="center"/>
      <protection hidden="1"/>
    </xf>
    <xf numFmtId="0" fontId="16" fillId="3" borderId="0" xfId="0" applyFont="1" applyFill="1" applyAlignment="1">
      <alignment horizontal="center"/>
    </xf>
    <xf numFmtId="9" fontId="0" fillId="2" borderId="26" xfId="0" applyNumberFormat="1" applyFill="1" applyBorder="1" applyAlignment="1" applyProtection="1">
      <alignment horizontal="center"/>
      <protection locked="0"/>
    </xf>
    <xf numFmtId="9" fontId="0" fillId="2" borderId="27" xfId="0" applyNumberFormat="1" applyFill="1" applyBorder="1" applyAlignment="1" applyProtection="1">
      <alignment horizontal="center"/>
      <protection locked="0"/>
    </xf>
    <xf numFmtId="9" fontId="0" fillId="0" borderId="26" xfId="0" applyNumberFormat="1" applyFill="1" applyBorder="1" applyAlignment="1">
      <alignment horizontal="center"/>
    </xf>
    <xf numFmtId="9" fontId="0" fillId="0" borderId="27" xfId="0" applyNumberFormat="1" applyFill="1" applyBorder="1" applyAlignment="1">
      <alignment horizontal="center"/>
    </xf>
    <xf numFmtId="166" fontId="0" fillId="2" borderId="17" xfId="1" applyNumberFormat="1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1" fontId="0" fillId="2" borderId="19" xfId="0" applyNumberFormat="1" applyFill="1" applyBorder="1" applyAlignment="1" applyProtection="1">
      <alignment horizontal="center"/>
      <protection locked="0"/>
    </xf>
    <xf numFmtId="10" fontId="0" fillId="2" borderId="26" xfId="0" applyNumberFormat="1" applyFill="1" applyBorder="1" applyAlignment="1" applyProtection="1">
      <alignment horizontal="center"/>
      <protection locked="0"/>
    </xf>
    <xf numFmtId="10" fontId="0" fillId="2" borderId="28" xfId="0" applyNumberFormat="1" applyFill="1" applyBorder="1" applyAlignment="1" applyProtection="1">
      <alignment horizontal="center"/>
      <protection locked="0"/>
    </xf>
    <xf numFmtId="10" fontId="0" fillId="2" borderId="27" xfId="0" applyNumberFormat="1" applyFill="1" applyBorder="1" applyAlignment="1" applyProtection="1">
      <alignment horizontal="center"/>
      <protection locked="0"/>
    </xf>
    <xf numFmtId="166" fontId="0" fillId="2" borderId="26" xfId="1" applyNumberFormat="1" applyFont="1" applyFill="1" applyBorder="1" applyAlignment="1" applyProtection="1">
      <alignment horizontal="center"/>
      <protection locked="0"/>
    </xf>
    <xf numFmtId="166" fontId="0" fillId="2" borderId="28" xfId="1" applyNumberFormat="1" applyFont="1" applyFill="1" applyBorder="1" applyAlignment="1" applyProtection="1">
      <alignment horizontal="center"/>
      <protection locked="0"/>
    </xf>
    <xf numFmtId="166" fontId="0" fillId="2" borderId="27" xfId="1" applyNumberFormat="1" applyFont="1" applyFill="1" applyBorder="1" applyAlignment="1" applyProtection="1">
      <alignment horizontal="center"/>
      <protection locked="0"/>
    </xf>
    <xf numFmtId="0" fontId="1" fillId="3" borderId="0" xfId="0" applyFont="1" applyFill="1" applyProtection="1"/>
    <xf numFmtId="0" fontId="1" fillId="10" borderId="0" xfId="0" applyFont="1" applyFill="1" applyProtection="1"/>
    <xf numFmtId="0" fontId="0" fillId="10" borderId="0" xfId="0" applyFill="1" applyProtection="1"/>
    <xf numFmtId="166" fontId="0" fillId="3" borderId="0" xfId="1" applyNumberFormat="1" applyFont="1" applyFill="1" applyProtection="1"/>
    <xf numFmtId="0" fontId="0" fillId="3" borderId="0" xfId="0" applyFill="1" applyAlignment="1" applyProtection="1">
      <alignment horizontal="right"/>
    </xf>
    <xf numFmtId="0" fontId="0" fillId="10" borderId="0" xfId="0" applyFill="1" applyAlignment="1" applyProtection="1">
      <alignment horizontal="right"/>
    </xf>
    <xf numFmtId="166" fontId="0" fillId="10" borderId="0" xfId="1" applyNumberFormat="1" applyFont="1" applyFill="1" applyProtection="1"/>
    <xf numFmtId="0" fontId="1" fillId="3" borderId="0" xfId="0" applyFont="1" applyFill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0" fillId="12" borderId="1" xfId="0" applyFill="1" applyBorder="1" applyProtection="1">
      <protection locked="0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3" borderId="15" xfId="0" applyFill="1" applyBorder="1"/>
    <xf numFmtId="0" fontId="0" fillId="3" borderId="15" xfId="0" applyFill="1" applyBorder="1" applyAlignment="1">
      <alignment horizontal="center"/>
    </xf>
    <xf numFmtId="0" fontId="0" fillId="3" borderId="0" xfId="0" applyFont="1" applyFill="1" applyAlignment="1" applyProtection="1">
      <alignment horizontal="center"/>
      <protection locked="0"/>
    </xf>
    <xf numFmtId="10" fontId="0" fillId="3" borderId="1" xfId="1" applyNumberFormat="1" applyFont="1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2" fontId="0" fillId="3" borderId="2" xfId="0" applyNumberFormat="1" applyFill="1" applyBorder="1" applyAlignment="1" applyProtection="1">
      <alignment horizontal="center"/>
      <protection locked="0"/>
    </xf>
    <xf numFmtId="10" fontId="0" fillId="3" borderId="4" xfId="1" applyNumberFormat="1" applyFont="1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2" fontId="0" fillId="3" borderId="0" xfId="0" applyNumberFormat="1" applyFill="1" applyBorder="1" applyAlignment="1" applyProtection="1">
      <alignment horizontal="center"/>
      <protection locked="0"/>
    </xf>
    <xf numFmtId="10" fontId="0" fillId="3" borderId="6" xfId="1" applyNumberFormat="1" applyFont="1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2" fontId="0" fillId="3" borderId="7" xfId="0" applyNumberFormat="1" applyFill="1" applyBorder="1" applyAlignment="1" applyProtection="1">
      <alignment horizontal="center"/>
      <protection locked="0"/>
    </xf>
    <xf numFmtId="0" fontId="1" fillId="3" borderId="23" xfId="0" applyFont="1" applyFill="1" applyBorder="1" applyAlignment="1">
      <alignment horizontal="center"/>
    </xf>
    <xf numFmtId="0" fontId="0" fillId="13" borderId="0" xfId="0" applyFill="1" applyBorder="1" applyProtection="1">
      <protection locked="0"/>
    </xf>
    <xf numFmtId="0" fontId="0" fillId="13" borderId="3" xfId="0" applyFill="1" applyBorder="1" applyProtection="1">
      <protection locked="0"/>
    </xf>
    <xf numFmtId="0" fontId="0" fillId="12" borderId="5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2" fontId="1" fillId="3" borderId="15" xfId="0" applyNumberFormat="1" applyFont="1" applyFill="1" applyBorder="1" applyAlignment="1"/>
    <xf numFmtId="2" fontId="0" fillId="0" borderId="0" xfId="0" applyNumberFormat="1" applyAlignment="1" applyProtection="1">
      <protection locked="0"/>
    </xf>
    <xf numFmtId="2" fontId="0" fillId="3" borderId="0" xfId="0" applyNumberFormat="1" applyFont="1" applyFill="1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9" fillId="8" borderId="0" xfId="0" applyFont="1" applyFill="1" applyBorder="1" applyAlignment="1" applyProtection="1">
      <alignment horizontal="left"/>
    </xf>
    <xf numFmtId="0" fontId="2" fillId="0" borderId="0" xfId="0" applyFont="1" applyAlignment="1" applyProtection="1">
      <alignment horizontal="center"/>
    </xf>
    <xf numFmtId="0" fontId="8" fillId="7" borderId="0" xfId="0" applyFont="1" applyFill="1" applyAlignment="1" applyProtection="1">
      <alignment horizontal="center"/>
    </xf>
    <xf numFmtId="9" fontId="7" fillId="0" borderId="10" xfId="1" applyFont="1" applyFill="1" applyBorder="1" applyAlignment="1" applyProtection="1">
      <alignment horizontal="center" vertical="center"/>
    </xf>
    <xf numFmtId="9" fontId="7" fillId="0" borderId="15" xfId="1" applyFont="1" applyFill="1" applyBorder="1" applyAlignment="1" applyProtection="1">
      <alignment horizontal="center" vertical="center"/>
    </xf>
    <xf numFmtId="0" fontId="2" fillId="9" borderId="0" xfId="0" applyFont="1" applyFill="1" applyBorder="1" applyAlignment="1" applyProtection="1">
      <alignment horizontal="left"/>
    </xf>
    <xf numFmtId="9" fontId="7" fillId="3" borderId="10" xfId="0" applyNumberFormat="1" applyFont="1" applyFill="1" applyBorder="1" applyAlignment="1" applyProtection="1">
      <alignment horizontal="center" vertical="center"/>
    </xf>
    <xf numFmtId="0" fontId="0" fillId="0" borderId="15" xfId="0" applyBorder="1" applyProtection="1"/>
    <xf numFmtId="0" fontId="3" fillId="4" borderId="0" xfId="0" applyFont="1" applyFill="1" applyAlignment="1" applyProtection="1">
      <alignment horizontal="center" vertical="center" textRotation="90"/>
    </xf>
    <xf numFmtId="0" fontId="3" fillId="4" borderId="0" xfId="0" applyFont="1" applyFill="1" applyAlignment="1" applyProtection="1">
      <alignment horizontal="center"/>
    </xf>
    <xf numFmtId="0" fontId="2" fillId="5" borderId="0" xfId="0" applyFont="1" applyFill="1" applyBorder="1" applyAlignment="1" applyProtection="1">
      <alignment horizontal="center"/>
    </xf>
    <xf numFmtId="0" fontId="4" fillId="6" borderId="0" xfId="0" applyFont="1" applyFill="1" applyAlignment="1" applyProtection="1">
      <alignment horizontal="center" vertical="center"/>
    </xf>
    <xf numFmtId="0" fontId="3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textRotation="90"/>
    </xf>
    <xf numFmtId="0" fontId="4" fillId="6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3">
    <cellStyle name="Normal" xfId="0" builtinId="0"/>
    <cellStyle name="Percentagem" xfId="1" builtinId="5"/>
    <cellStyle name="Vírgula" xfId="2" builtin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441960</xdr:colOff>
      <xdr:row>1</xdr:row>
      <xdr:rowOff>137160</xdr:rowOff>
    </xdr:from>
    <xdr:to>
      <xdr:col>2</xdr:col>
      <xdr:colOff>530705</xdr:colOff>
      <xdr:row>4</xdr:row>
      <xdr:rowOff>82496</xdr:rowOff>
    </xdr:to>
    <xdr:pic>
      <xdr:nvPicPr>
        <xdr:cNvPr id="2" name="Picture 6" descr="D:\ELENA\webs\ITA\Imagen corporativa\LOGOS\Logo_ITA_derecha_azul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441960" y="320040"/>
          <a:ext cx="1673705" cy="493976"/>
        </a:xfrm>
        <a:prstGeom prst="rect">
          <a:avLst/>
        </a:prstGeom>
        <a:noFill/>
      </xdr:spPr>
    </xdr:pic>
    <xdr:clientData/>
  </xdr:twoCellAnchor>
  <xdr:twoCellAnchor>
    <xdr:from>
      <xdr:col>5</xdr:col>
      <xdr:colOff>674076</xdr:colOff>
      <xdr:row>7</xdr:row>
      <xdr:rowOff>146538</xdr:rowOff>
    </xdr:from>
    <xdr:to>
      <xdr:col>8</xdr:col>
      <xdr:colOff>725365</xdr:colOff>
      <xdr:row>11</xdr:row>
      <xdr:rowOff>51288</xdr:rowOff>
    </xdr:to>
    <xdr:sp macro="[0]!calcula_error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20711" y="1480038"/>
          <a:ext cx="2359269" cy="66675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400" b="1">
              <a:solidFill>
                <a:schemeClr val="bg1"/>
              </a:solidFill>
            </a:rPr>
            <a:t>CALCULAR</a:t>
          </a:r>
        </a:p>
      </xdr:txBody>
    </xdr:sp>
    <xdr:clientData/>
  </xdr:twoCellAnchor>
  <xdr:twoCellAnchor>
    <xdr:from>
      <xdr:col>5</xdr:col>
      <xdr:colOff>650630</xdr:colOff>
      <xdr:row>12</xdr:row>
      <xdr:rowOff>108439</xdr:rowOff>
    </xdr:from>
    <xdr:to>
      <xdr:col>8</xdr:col>
      <xdr:colOff>701919</xdr:colOff>
      <xdr:row>16</xdr:row>
      <xdr:rowOff>13189</xdr:rowOff>
    </xdr:to>
    <xdr:sp macro="[0]!importar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97265" y="2394439"/>
          <a:ext cx="2359269" cy="6667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400" b="1">
              <a:solidFill>
                <a:schemeClr val="bg1"/>
              </a:solidFill>
            </a:rPr>
            <a:t>IMPORTAR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B14:D16"/>
  <sheetViews>
    <sheetView zoomScale="130" zoomScaleNormal="130" workbookViewId="0">
      <selection activeCell="C16" sqref="C16"/>
    </sheetView>
  </sheetViews>
  <sheetFormatPr defaultColWidth="11.5703125" defaultRowHeight="15" x14ac:dyDescent="0.25"/>
  <cols>
    <col min="1" max="16384" width="11.5703125" style="3"/>
  </cols>
  <sheetData>
    <row r="14" spans="2:4" x14ac:dyDescent="0.25">
      <c r="B14" s="3" t="s">
        <v>159</v>
      </c>
      <c r="C14" s="117" t="s">
        <v>160</v>
      </c>
    </row>
    <row r="15" spans="2:4" x14ac:dyDescent="0.25">
      <c r="B15" s="3" t="s">
        <v>161</v>
      </c>
      <c r="C15" s="116">
        <v>42614</v>
      </c>
      <c r="D15" s="3" t="s">
        <v>191</v>
      </c>
    </row>
    <row r="16" spans="2:4" x14ac:dyDescent="0.25">
      <c r="B16" s="3" t="s">
        <v>162</v>
      </c>
      <c r="C16" s="117" t="s">
        <v>163</v>
      </c>
    </row>
  </sheetData>
  <sheetProtection algorithmName="SHA-512" hashValue="1qgBemg9kkUxH+1yoC9UwseZxjt96/3GNSbPsvAsF8WB9xaJEWh5ts+UmwxBeDcC7YayERMZhbdcHVocGa6M7w==" saltValue="9lM4eeWG0/sxnUsD/5MO1g==" spinCount="100000" sheet="1" objects="1" scenarios="1" selectLockedCells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>
    <tabColor theme="3" tint="0.39997558519241921"/>
    <pageSetUpPr fitToPage="1"/>
  </sheetPr>
  <dimension ref="B2:J27"/>
  <sheetViews>
    <sheetView tabSelected="1" zoomScale="115" zoomScaleNormal="115" workbookViewId="0">
      <selection activeCell="I2" sqref="I2"/>
    </sheetView>
  </sheetViews>
  <sheetFormatPr defaultColWidth="11.5703125" defaultRowHeight="15" x14ac:dyDescent="0.25"/>
  <cols>
    <col min="1" max="2" width="11.5703125" style="3"/>
    <col min="3" max="7" width="20.7109375" style="103" customWidth="1"/>
    <col min="8" max="8" width="11.5703125" style="3"/>
    <col min="9" max="9" width="13.42578125" style="3" customWidth="1"/>
    <col min="10" max="16384" width="11.5703125" style="3"/>
  </cols>
  <sheetData>
    <row r="2" spans="2:10" ht="14.45" x14ac:dyDescent="0.3">
      <c r="G2" s="115"/>
      <c r="H2" s="114" t="s">
        <v>158</v>
      </c>
      <c r="I2" s="163">
        <v>0.1</v>
      </c>
    </row>
    <row r="4" spans="2:10" thickBot="1" x14ac:dyDescent="0.35">
      <c r="C4" s="1" t="s">
        <v>147</v>
      </c>
      <c r="D4" s="2" t="s">
        <v>149</v>
      </c>
      <c r="E4" s="2" t="s">
        <v>150</v>
      </c>
      <c r="F4" s="2" t="s">
        <v>151</v>
      </c>
      <c r="G4" s="2" t="s">
        <v>154</v>
      </c>
      <c r="H4" s="2" t="s">
        <v>155</v>
      </c>
      <c r="I4" s="2" t="s">
        <v>156</v>
      </c>
    </row>
    <row r="5" spans="2:10" ht="14.45" x14ac:dyDescent="0.3">
      <c r="B5" s="1" t="s">
        <v>148</v>
      </c>
      <c r="C5" s="209">
        <v>-9.5271091309178296E-2</v>
      </c>
      <c r="D5" s="210">
        <v>4</v>
      </c>
      <c r="E5" s="210"/>
      <c r="F5" s="210">
        <v>726</v>
      </c>
      <c r="G5" s="211">
        <v>7664.2349999999979</v>
      </c>
      <c r="H5" s="210">
        <v>831</v>
      </c>
      <c r="I5" s="146"/>
      <c r="J5" s="104">
        <f>+I5/H5</f>
        <v>0</v>
      </c>
    </row>
    <row r="6" spans="2:10" ht="14.45" x14ac:dyDescent="0.3">
      <c r="B6" s="1" t="s">
        <v>130</v>
      </c>
      <c r="C6" s="212">
        <v>-9.583333333333334E-2</v>
      </c>
      <c r="D6" s="213">
        <v>1</v>
      </c>
      <c r="E6" s="213"/>
      <c r="F6" s="213">
        <v>1</v>
      </c>
      <c r="G6" s="214">
        <v>148.5</v>
      </c>
      <c r="H6" s="213">
        <v>2</v>
      </c>
      <c r="I6" s="148"/>
      <c r="J6" s="104">
        <f>+I6/H6</f>
        <v>0</v>
      </c>
    </row>
    <row r="7" spans="2:10" ht="14.45" x14ac:dyDescent="0.3">
      <c r="B7" s="1" t="s">
        <v>131</v>
      </c>
      <c r="C7" s="212">
        <v>-7.2500000000000009E-2</v>
      </c>
      <c r="D7" s="213">
        <v>1</v>
      </c>
      <c r="E7" s="213">
        <v>1</v>
      </c>
      <c r="F7" s="213">
        <v>1</v>
      </c>
      <c r="G7" s="214">
        <v>369.11900000000003</v>
      </c>
      <c r="H7" s="213">
        <v>2</v>
      </c>
      <c r="I7" s="148"/>
      <c r="J7" s="112"/>
    </row>
    <row r="8" spans="2:10" ht="14.45" x14ac:dyDescent="0.3">
      <c r="B8" s="1" t="s">
        <v>132</v>
      </c>
      <c r="C8" s="212"/>
      <c r="D8" s="213">
        <v>0</v>
      </c>
      <c r="E8" s="213">
        <v>0</v>
      </c>
      <c r="F8" s="213">
        <v>0</v>
      </c>
      <c r="G8" s="214">
        <v>0</v>
      </c>
      <c r="H8" s="213">
        <v>0</v>
      </c>
      <c r="I8" s="148"/>
      <c r="J8" s="112"/>
    </row>
    <row r="9" spans="2:10" ht="14.45" x14ac:dyDescent="0.3">
      <c r="B9" s="1" t="s">
        <v>133</v>
      </c>
      <c r="C9" s="212"/>
      <c r="D9" s="213">
        <v>0</v>
      </c>
      <c r="E9" s="213">
        <v>0</v>
      </c>
      <c r="F9" s="213">
        <v>0</v>
      </c>
      <c r="G9" s="214">
        <v>0</v>
      </c>
      <c r="H9" s="213">
        <v>0</v>
      </c>
      <c r="I9" s="148"/>
      <c r="J9" s="112"/>
    </row>
    <row r="10" spans="2:10" ht="14.45" x14ac:dyDescent="0.3">
      <c r="B10" s="1" t="s">
        <v>134</v>
      </c>
      <c r="C10" s="212"/>
      <c r="D10" s="213">
        <v>0</v>
      </c>
      <c r="E10" s="213">
        <v>0</v>
      </c>
      <c r="F10" s="213">
        <v>0</v>
      </c>
      <c r="G10" s="214">
        <v>0</v>
      </c>
      <c r="H10" s="213">
        <v>0</v>
      </c>
      <c r="I10" s="148"/>
      <c r="J10" s="112"/>
    </row>
    <row r="11" spans="2:10" ht="14.45" x14ac:dyDescent="0.3">
      <c r="B11" s="1" t="s">
        <v>135</v>
      </c>
      <c r="C11" s="212"/>
      <c r="D11" s="213">
        <v>0</v>
      </c>
      <c r="E11" s="213">
        <v>0</v>
      </c>
      <c r="F11" s="213">
        <v>0</v>
      </c>
      <c r="G11" s="214">
        <v>0</v>
      </c>
      <c r="H11" s="213">
        <v>0</v>
      </c>
      <c r="I11" s="148"/>
      <c r="J11" s="112"/>
    </row>
    <row r="12" spans="2:10" ht="14.45" x14ac:dyDescent="0.3">
      <c r="B12" s="1" t="s">
        <v>50</v>
      </c>
      <c r="C12" s="212"/>
      <c r="D12" s="213">
        <v>0</v>
      </c>
      <c r="E12" s="213">
        <v>0</v>
      </c>
      <c r="F12" s="213">
        <v>0</v>
      </c>
      <c r="G12" s="214">
        <v>0</v>
      </c>
      <c r="H12" s="213">
        <v>0</v>
      </c>
      <c r="I12" s="148"/>
      <c r="J12" s="112"/>
    </row>
    <row r="13" spans="2:10" thickBot="1" x14ac:dyDescent="0.35">
      <c r="B13" s="1" t="s">
        <v>51</v>
      </c>
      <c r="C13" s="215"/>
      <c r="D13" s="216">
        <v>0</v>
      </c>
      <c r="E13" s="216">
        <v>0</v>
      </c>
      <c r="F13" s="216">
        <v>0</v>
      </c>
      <c r="G13" s="217">
        <v>0</v>
      </c>
      <c r="H13" s="216">
        <v>0</v>
      </c>
      <c r="I13" s="151"/>
      <c r="J13" s="112"/>
    </row>
    <row r="14" spans="2:10" thickBot="1" x14ac:dyDescent="0.35">
      <c r="C14" s="176">
        <v>-9.4253993043630468E-2</v>
      </c>
    </row>
    <row r="15" spans="2:10" ht="14.45" x14ac:dyDescent="0.3">
      <c r="C15" s="172"/>
    </row>
    <row r="16" spans="2:10" ht="15.75" thickBot="1" x14ac:dyDescent="0.3">
      <c r="C16" s="172"/>
    </row>
    <row r="17" spans="2:8" ht="16.5" thickBot="1" x14ac:dyDescent="0.3">
      <c r="B17" s="3" t="s">
        <v>157</v>
      </c>
      <c r="C17" s="177">
        <f>+C14-I5/H5*$I$2*G5/SUM(G5:G13)-I6/H6*$I$2*G6/SUM(G5:G13)</f>
        <v>-9.4253993043630468E-2</v>
      </c>
    </row>
    <row r="19" spans="2:8" x14ac:dyDescent="0.25">
      <c r="G19" s="113"/>
      <c r="H19" s="103"/>
    </row>
    <row r="22" spans="2:8" ht="15.75" thickBot="1" x14ac:dyDescent="0.3">
      <c r="B22" s="206" t="s">
        <v>183</v>
      </c>
      <c r="C22" s="207"/>
    </row>
    <row r="23" spans="2:8" x14ac:dyDescent="0.25">
      <c r="B23" s="3" t="s">
        <v>184</v>
      </c>
      <c r="D23" s="203">
        <v>0</v>
      </c>
    </row>
    <row r="24" spans="2:8" x14ac:dyDescent="0.25">
      <c r="B24" s="3" t="s">
        <v>185</v>
      </c>
      <c r="D24" s="204">
        <v>0</v>
      </c>
    </row>
    <row r="25" spans="2:8" x14ac:dyDescent="0.25">
      <c r="B25" s="3" t="s">
        <v>186</v>
      </c>
      <c r="D25" s="204">
        <v>0</v>
      </c>
    </row>
    <row r="26" spans="2:8" ht="15.75" thickBot="1" x14ac:dyDescent="0.3">
      <c r="B26" s="3" t="s">
        <v>187</v>
      </c>
      <c r="D26" s="205">
        <v>0</v>
      </c>
    </row>
    <row r="27" spans="2:8" ht="15.75" thickBot="1" x14ac:dyDescent="0.3">
      <c r="B27" s="3" t="s">
        <v>190</v>
      </c>
      <c r="D27" s="218">
        <v>835</v>
      </c>
    </row>
  </sheetData>
  <sheetProtection algorithmName="SHA-512" hashValue="poFZK03X8auWf+ma3dQFiMReOkSIJ2ar4cAAI+LloECdWu6Sh6hiX+8+II9JVtvFuWA5Y2LyTQQH39cbmY5qKg==" saltValue="jo8umVOxbBx74RWItyIjWw==" spinCount="100000" sheet="1" objects="1" scenarios="1" selectLockedCells="1"/>
  <pageMargins left="0.7" right="0.7" top="0.75" bottom="0.75" header="0.3" footer="0.3"/>
  <pageSetup paperSize="9" scale="80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tabColor theme="0" tint="-4.9989318521683403E-2"/>
    <pageSetUpPr fitToPage="1"/>
  </sheetPr>
  <dimension ref="B3:J164"/>
  <sheetViews>
    <sheetView showGridLines="0" zoomScale="70" zoomScaleNormal="70" zoomScaleSheetLayoutView="55" workbookViewId="0">
      <selection activeCell="E6" sqref="E6"/>
    </sheetView>
  </sheetViews>
  <sheetFormatPr defaultColWidth="11.42578125" defaultRowHeight="15" x14ac:dyDescent="0.25"/>
  <cols>
    <col min="1" max="1" width="8.140625" style="99" customWidth="1"/>
    <col min="2" max="2" width="17.7109375" style="99" customWidth="1"/>
    <col min="3" max="3" width="43" style="99" customWidth="1"/>
    <col min="4" max="4" width="68.140625" style="99" customWidth="1"/>
    <col min="5" max="5" width="20" style="99" customWidth="1"/>
    <col min="6" max="6" width="12.85546875" style="99" customWidth="1"/>
    <col min="7" max="7" width="15.7109375" style="99" bestFit="1" customWidth="1"/>
    <col min="8" max="8" width="15.7109375" style="99" customWidth="1"/>
    <col min="9" max="9" width="15" style="99" bestFit="1" customWidth="1"/>
    <col min="10" max="10" width="12.7109375" style="101" customWidth="1"/>
    <col min="11" max="16384" width="11.42578125" style="99"/>
  </cols>
  <sheetData>
    <row r="3" spans="2:10" ht="14.45" x14ac:dyDescent="0.3">
      <c r="J3" s="100"/>
    </row>
    <row r="4" spans="2:10" ht="18.75" x14ac:dyDescent="0.3">
      <c r="B4" s="231" t="s">
        <v>65</v>
      </c>
      <c r="C4" s="231"/>
      <c r="D4" s="231"/>
      <c r="E4" s="231"/>
      <c r="F4" s="231"/>
      <c r="G4" s="231"/>
      <c r="H4" s="231"/>
      <c r="I4" s="231"/>
      <c r="J4" s="231"/>
    </row>
    <row r="5" spans="2:10" ht="15.6" x14ac:dyDescent="0.3">
      <c r="B5" s="4"/>
      <c r="C5" s="4"/>
      <c r="D5" s="4"/>
      <c r="E5" s="4"/>
      <c r="F5" s="4"/>
      <c r="G5" s="4"/>
      <c r="H5" s="4"/>
      <c r="I5" s="5"/>
      <c r="J5" s="6"/>
    </row>
    <row r="6" spans="2:10" ht="18.75" x14ac:dyDescent="0.3">
      <c r="B6" s="7" t="s">
        <v>66</v>
      </c>
      <c r="C6" s="8"/>
      <c r="D6" s="9"/>
      <c r="E6" s="10">
        <v>1</v>
      </c>
      <c r="F6" s="9" t="s">
        <v>67</v>
      </c>
      <c r="G6" s="4"/>
      <c r="H6" s="4"/>
      <c r="I6" s="5"/>
      <c r="J6" s="6"/>
    </row>
    <row r="7" spans="2:10" ht="15.6" x14ac:dyDescent="0.3">
      <c r="B7" s="9"/>
      <c r="C7" s="9"/>
      <c r="D7" s="9"/>
      <c r="E7" s="11"/>
      <c r="F7" s="9"/>
      <c r="G7" s="4"/>
      <c r="H7" s="4"/>
      <c r="I7" s="5"/>
      <c r="J7" s="5"/>
    </row>
    <row r="8" spans="2:10" ht="15.6" x14ac:dyDescent="0.3">
      <c r="B8" s="9"/>
      <c r="C8" s="9"/>
      <c r="D8" s="9"/>
      <c r="E8" s="11"/>
      <c r="F8" s="9"/>
      <c r="G8" s="4"/>
      <c r="H8" s="4"/>
      <c r="I8" s="5"/>
      <c r="J8" s="5"/>
    </row>
    <row r="9" spans="2:10" ht="18.75" x14ac:dyDescent="0.3">
      <c r="B9" s="7" t="s">
        <v>68</v>
      </c>
      <c r="C9" s="8"/>
      <c r="D9" s="9"/>
      <c r="E9" s="11"/>
      <c r="F9" s="9"/>
      <c r="G9" s="4"/>
      <c r="H9" s="4"/>
      <c r="I9" s="12"/>
      <c r="J9" s="5"/>
    </row>
    <row r="10" spans="2:10" ht="15.6" x14ac:dyDescent="0.3">
      <c r="B10" s="9"/>
      <c r="C10" s="9"/>
      <c r="D10" s="13"/>
      <c r="E10" s="14"/>
      <c r="F10" s="9"/>
      <c r="G10" s="15"/>
      <c r="H10" s="16"/>
      <c r="I10" s="5"/>
      <c r="J10" s="5"/>
    </row>
    <row r="11" spans="2:10" ht="15.75" x14ac:dyDescent="0.25">
      <c r="B11" s="9"/>
      <c r="C11" s="9"/>
      <c r="D11" s="9" t="s">
        <v>69</v>
      </c>
      <c r="E11" s="17" t="s">
        <v>192</v>
      </c>
      <c r="F11" s="18"/>
      <c r="G11" s="4"/>
      <c r="H11" s="4"/>
      <c r="I11" s="5"/>
      <c r="J11" s="5"/>
    </row>
    <row r="12" spans="2:10" ht="15.6" x14ac:dyDescent="0.3">
      <c r="B12" s="13"/>
      <c r="C12" s="9"/>
      <c r="D12" s="19"/>
      <c r="E12" s="20"/>
      <c r="F12" s="19"/>
      <c r="G12" s="4"/>
      <c r="H12" s="4"/>
      <c r="I12" s="5"/>
      <c r="J12" s="5"/>
    </row>
    <row r="13" spans="2:10" ht="15.75" x14ac:dyDescent="0.25">
      <c r="B13" s="9"/>
      <c r="C13" s="9"/>
      <c r="D13" s="21" t="s">
        <v>70</v>
      </c>
      <c r="E13" s="22" t="s">
        <v>71</v>
      </c>
      <c r="F13" s="18"/>
      <c r="G13" s="4"/>
      <c r="H13" s="4"/>
      <c r="I13" s="5"/>
      <c r="J13" s="5"/>
    </row>
    <row r="14" spans="2:10" ht="15.6" x14ac:dyDescent="0.3">
      <c r="B14" s="4"/>
      <c r="C14" s="4"/>
      <c r="D14" s="19"/>
      <c r="E14" s="20"/>
      <c r="F14" s="19"/>
      <c r="G14" s="4"/>
      <c r="H14" s="4"/>
      <c r="I14" s="5"/>
      <c r="J14" s="5"/>
    </row>
    <row r="15" spans="2:10" ht="15.75" x14ac:dyDescent="0.25">
      <c r="B15" s="4"/>
      <c r="C15" s="4"/>
      <c r="D15" s="23" t="s">
        <v>72</v>
      </c>
      <c r="E15" s="17" t="s">
        <v>120</v>
      </c>
      <c r="F15" s="19"/>
      <c r="G15" s="4"/>
      <c r="H15" s="4"/>
      <c r="I15" s="5"/>
      <c r="J15" s="5"/>
    </row>
    <row r="16" spans="2:10" ht="15.6" x14ac:dyDescent="0.3">
      <c r="B16" s="4"/>
      <c r="C16" s="4"/>
      <c r="D16" s="13"/>
      <c r="E16" s="13"/>
      <c r="F16" s="19"/>
      <c r="G16" s="4"/>
      <c r="H16" s="4"/>
      <c r="I16" s="5"/>
      <c r="J16" s="5"/>
    </row>
    <row r="17" spans="2:10" ht="15.6" x14ac:dyDescent="0.3">
      <c r="B17" s="4"/>
      <c r="C17" s="4"/>
      <c r="D17" s="19"/>
      <c r="E17" s="20"/>
      <c r="F17" s="19"/>
      <c r="G17" s="4"/>
      <c r="H17" s="4"/>
      <c r="I17" s="5"/>
      <c r="J17" s="5"/>
    </row>
    <row r="18" spans="2:10" ht="18.75" x14ac:dyDescent="0.3">
      <c r="B18" s="24" t="s">
        <v>73</v>
      </c>
      <c r="C18" s="8"/>
      <c r="D18" s="19"/>
      <c r="E18" s="25" t="s">
        <v>193</v>
      </c>
      <c r="F18" s="25"/>
      <c r="G18" s="4"/>
      <c r="H18" s="4"/>
      <c r="I18" s="5"/>
      <c r="J18" s="5"/>
    </row>
    <row r="19" spans="2:10" ht="15.6" x14ac:dyDescent="0.3">
      <c r="B19" s="19"/>
      <c r="C19" s="19"/>
      <c r="D19" s="13"/>
      <c r="E19" s="13"/>
      <c r="F19" s="18"/>
      <c r="G19" s="4"/>
      <c r="H19" s="4"/>
      <c r="I19" s="5"/>
      <c r="J19" s="5"/>
    </row>
    <row r="20" spans="2:10" ht="15.6" x14ac:dyDescent="0.3">
      <c r="B20" s="4"/>
      <c r="C20" s="4"/>
      <c r="D20" s="4"/>
      <c r="E20" s="15"/>
      <c r="F20" s="26"/>
      <c r="G20" s="4"/>
      <c r="H20" s="4"/>
      <c r="I20" s="5"/>
      <c r="J20" s="5"/>
    </row>
    <row r="21" spans="2:10" ht="18.75" x14ac:dyDescent="0.3">
      <c r="B21" s="231" t="s">
        <v>74</v>
      </c>
      <c r="C21" s="231"/>
      <c r="D21" s="231"/>
      <c r="E21" s="231"/>
      <c r="F21" s="231"/>
      <c r="G21" s="231"/>
      <c r="H21" s="231"/>
      <c r="I21" s="231"/>
      <c r="J21" s="231"/>
    </row>
    <row r="22" spans="2:10" ht="15.6" x14ac:dyDescent="0.3">
      <c r="B22" s="19"/>
      <c r="C22" s="19"/>
      <c r="D22" s="19"/>
      <c r="E22" s="19"/>
      <c r="F22" s="19"/>
      <c r="G22" s="19"/>
      <c r="H22" s="19"/>
      <c r="I22" s="27"/>
      <c r="J22" s="27"/>
    </row>
    <row r="23" spans="2:10" ht="18.75" x14ac:dyDescent="0.3">
      <c r="B23" s="229" t="s">
        <v>75</v>
      </c>
      <c r="C23" s="229"/>
      <c r="D23" s="229"/>
      <c r="E23" s="229"/>
      <c r="F23" s="19"/>
      <c r="G23" s="19"/>
      <c r="H23" s="19"/>
      <c r="I23" s="27"/>
      <c r="J23" s="27"/>
    </row>
    <row r="24" spans="2:10" ht="15.75" x14ac:dyDescent="0.25">
      <c r="B24" s="19"/>
      <c r="C24" s="19"/>
      <c r="D24" s="19"/>
      <c r="E24" s="19"/>
      <c r="F24" s="19"/>
      <c r="G24" s="19"/>
      <c r="H24" s="19"/>
      <c r="I24" s="27"/>
      <c r="J24" s="27"/>
    </row>
    <row r="25" spans="2:10" ht="15.75" x14ac:dyDescent="0.25">
      <c r="B25" s="13"/>
      <c r="C25" s="28" t="s">
        <v>76</v>
      </c>
      <c r="D25" s="28"/>
      <c r="E25" s="29"/>
      <c r="F25" s="13"/>
      <c r="G25" s="13"/>
      <c r="H25" s="13"/>
      <c r="I25" s="13"/>
      <c r="J25" s="30"/>
    </row>
    <row r="26" spans="2:10" ht="15.75" x14ac:dyDescent="0.25">
      <c r="B26" s="9"/>
      <c r="C26" s="9"/>
      <c r="D26" s="9"/>
      <c r="E26" s="9"/>
      <c r="F26" s="9"/>
      <c r="G26" s="9"/>
      <c r="H26" s="9"/>
      <c r="I26" s="30"/>
      <c r="J26" s="30"/>
    </row>
    <row r="27" spans="2:10" ht="15.75" x14ac:dyDescent="0.25">
      <c r="B27" s="9"/>
      <c r="C27" s="27" t="s">
        <v>77</v>
      </c>
      <c r="D27" s="31"/>
      <c r="E27" s="10">
        <v>0</v>
      </c>
      <c r="F27" s="32" t="s">
        <v>78</v>
      </c>
      <c r="G27" s="32"/>
      <c r="H27" s="32"/>
      <c r="I27" s="32"/>
      <c r="J27" s="32"/>
    </row>
    <row r="28" spans="2:10" ht="15.75" x14ac:dyDescent="0.25">
      <c r="B28" s="13"/>
      <c r="C28" s="27" t="s">
        <v>79</v>
      </c>
      <c r="D28" s="23"/>
      <c r="E28" s="10">
        <v>0</v>
      </c>
      <c r="F28" s="32" t="s">
        <v>78</v>
      </c>
      <c r="G28" s="23"/>
      <c r="H28" s="23"/>
      <c r="I28" s="33"/>
      <c r="J28" s="33"/>
    </row>
    <row r="29" spans="2:10" ht="15.75" x14ac:dyDescent="0.25">
      <c r="B29" s="13"/>
      <c r="C29" s="27" t="s">
        <v>80</v>
      </c>
      <c r="D29" s="23"/>
      <c r="E29" s="34">
        <f>1-(SUM(E27:E28))</f>
        <v>1</v>
      </c>
      <c r="F29" s="32" t="s">
        <v>78</v>
      </c>
      <c r="G29" s="23"/>
      <c r="H29" s="23"/>
      <c r="I29" s="33"/>
      <c r="J29" s="33"/>
    </row>
    <row r="30" spans="2:10" ht="15.75" x14ac:dyDescent="0.25">
      <c r="B30" s="9"/>
      <c r="C30" s="9"/>
      <c r="D30" s="9"/>
      <c r="E30" s="13"/>
      <c r="F30" s="13"/>
      <c r="G30" s="13"/>
      <c r="H30" s="13"/>
      <c r="I30" s="13"/>
      <c r="J30" s="13"/>
    </row>
    <row r="31" spans="2:10" ht="15.75" x14ac:dyDescent="0.25">
      <c r="B31" s="13"/>
      <c r="C31" s="28" t="s">
        <v>81</v>
      </c>
      <c r="D31" s="28"/>
      <c r="E31" s="29"/>
      <c r="F31" s="29"/>
      <c r="G31" s="29"/>
      <c r="H31" s="29"/>
      <c r="I31" s="29"/>
      <c r="J31" s="13"/>
    </row>
    <row r="32" spans="2:10" ht="15.75" x14ac:dyDescent="0.25">
      <c r="B32" s="9"/>
      <c r="C32" s="9"/>
      <c r="D32" s="9"/>
      <c r="E32" s="13"/>
      <c r="F32" s="13"/>
      <c r="G32" s="13"/>
      <c r="H32" s="13"/>
      <c r="I32" s="13"/>
      <c r="J32" s="35"/>
    </row>
    <row r="33" spans="2:10" ht="15.75" x14ac:dyDescent="0.25">
      <c r="B33" s="9"/>
      <c r="C33" s="9"/>
      <c r="D33" s="36" t="s">
        <v>82</v>
      </c>
      <c r="E33" s="37">
        <v>0.1</v>
      </c>
      <c r="F33" s="38" t="s">
        <v>83</v>
      </c>
      <c r="G33" s="38"/>
      <c r="H33" s="39"/>
      <c r="I33" s="40">
        <v>0.1</v>
      </c>
      <c r="J33" s="41"/>
    </row>
    <row r="34" spans="2:10" ht="15.75" x14ac:dyDescent="0.25">
      <c r="B34" s="9"/>
      <c r="C34" s="9"/>
      <c r="D34" s="42"/>
      <c r="E34" s="43"/>
      <c r="F34" s="9" t="s">
        <v>84</v>
      </c>
      <c r="G34" s="9"/>
      <c r="H34" s="11"/>
      <c r="I34" s="44">
        <v>0.8</v>
      </c>
      <c r="J34" s="41"/>
    </row>
    <row r="35" spans="2:10" ht="15.75" x14ac:dyDescent="0.25">
      <c r="B35" s="9"/>
      <c r="C35" s="9"/>
      <c r="D35" s="45"/>
      <c r="E35" s="46"/>
      <c r="F35" s="47" t="s">
        <v>85</v>
      </c>
      <c r="G35" s="47"/>
      <c r="H35" s="48"/>
      <c r="I35" s="49">
        <f>1-(SUM(I33:I34))</f>
        <v>9.9999999999999978E-2</v>
      </c>
      <c r="J35" s="35"/>
    </row>
    <row r="36" spans="2:10" ht="15.75" x14ac:dyDescent="0.25">
      <c r="B36" s="9"/>
      <c r="C36" s="9"/>
      <c r="D36" s="36" t="s">
        <v>86</v>
      </c>
      <c r="E36" s="50">
        <f>(1-E33)</f>
        <v>0.9</v>
      </c>
      <c r="F36" s="38" t="s">
        <v>87</v>
      </c>
      <c r="G36" s="38"/>
      <c r="H36" s="39"/>
      <c r="I36" s="10">
        <v>1</v>
      </c>
      <c r="J36" s="41"/>
    </row>
    <row r="37" spans="2:10" ht="15.75" x14ac:dyDescent="0.25">
      <c r="B37" s="9"/>
      <c r="C37" s="9"/>
      <c r="D37" s="45"/>
      <c r="E37" s="46"/>
      <c r="F37" s="47" t="s">
        <v>88</v>
      </c>
      <c r="G37" s="47"/>
      <c r="H37" s="48"/>
      <c r="I37" s="51">
        <f>(1-I36)</f>
        <v>0</v>
      </c>
      <c r="J37" s="41"/>
    </row>
    <row r="38" spans="2:10" ht="15.75" x14ac:dyDescent="0.25">
      <c r="B38" s="9"/>
      <c r="C38" s="9"/>
      <c r="D38" s="9"/>
      <c r="E38" s="9"/>
      <c r="F38" s="9"/>
      <c r="G38" s="9"/>
      <c r="H38" s="9"/>
      <c r="I38" s="11"/>
      <c r="J38" s="52"/>
    </row>
    <row r="39" spans="2:10" ht="15.75" x14ac:dyDescent="0.25">
      <c r="B39" s="13"/>
      <c r="C39" s="234" t="s">
        <v>89</v>
      </c>
      <c r="D39" s="234"/>
      <c r="E39" s="13"/>
      <c r="F39" s="13"/>
      <c r="G39" s="13"/>
      <c r="H39" s="13"/>
      <c r="I39" s="13"/>
      <c r="J39" s="13"/>
    </row>
    <row r="40" spans="2:10" ht="15.75" x14ac:dyDescent="0.25">
      <c r="B40" s="53"/>
      <c r="C40" s="53"/>
      <c r="D40" s="11"/>
      <c r="E40" s="13"/>
      <c r="F40" s="13"/>
      <c r="G40" s="13"/>
      <c r="H40" s="13"/>
      <c r="I40" s="13"/>
      <c r="J40" s="13"/>
    </row>
    <row r="41" spans="2:10" ht="15.75" x14ac:dyDescent="0.25">
      <c r="B41" s="53"/>
      <c r="C41" s="53"/>
      <c r="D41" s="54" t="s">
        <v>90</v>
      </c>
      <c r="E41" s="37">
        <v>0</v>
      </c>
      <c r="F41" s="55" t="s">
        <v>91</v>
      </c>
      <c r="G41" s="56"/>
      <c r="H41" s="56"/>
      <c r="I41" s="40">
        <v>1</v>
      </c>
      <c r="J41" s="13"/>
    </row>
    <row r="42" spans="2:10" ht="15.75" x14ac:dyDescent="0.25">
      <c r="B42" s="53"/>
      <c r="C42" s="57"/>
      <c r="D42" s="58"/>
      <c r="E42" s="46"/>
      <c r="F42" s="23" t="s">
        <v>92</v>
      </c>
      <c r="G42" s="53"/>
      <c r="H42" s="53"/>
      <c r="I42" s="59">
        <f>1-I41</f>
        <v>0</v>
      </c>
      <c r="J42" s="13"/>
    </row>
    <row r="43" spans="2:10" ht="15.75" x14ac:dyDescent="0.25">
      <c r="B43" s="53"/>
      <c r="C43" s="13"/>
      <c r="D43" s="60" t="s">
        <v>93</v>
      </c>
      <c r="E43" s="61">
        <f>1-E41</f>
        <v>1</v>
      </c>
      <c r="F43" s="55" t="s">
        <v>94</v>
      </c>
      <c r="G43" s="56"/>
      <c r="H43" s="56"/>
      <c r="I43" s="40">
        <v>1</v>
      </c>
      <c r="J43" s="13"/>
    </row>
    <row r="44" spans="2:10" ht="15.75" x14ac:dyDescent="0.25">
      <c r="B44" s="9"/>
      <c r="C44" s="9"/>
      <c r="D44" s="62"/>
      <c r="E44" s="63"/>
      <c r="F44" s="64" t="s">
        <v>92</v>
      </c>
      <c r="G44" s="65"/>
      <c r="H44" s="65"/>
      <c r="I44" s="66">
        <f>1-I43</f>
        <v>0</v>
      </c>
      <c r="J44" s="52"/>
    </row>
    <row r="45" spans="2:10" ht="15.75" x14ac:dyDescent="0.25">
      <c r="B45" s="9"/>
      <c r="C45" s="9"/>
      <c r="D45" s="9"/>
      <c r="E45" s="9"/>
      <c r="F45" s="9"/>
      <c r="G45" s="9"/>
      <c r="H45" s="9"/>
      <c r="I45" s="11"/>
      <c r="J45" s="52"/>
    </row>
    <row r="46" spans="2:10" ht="15.75" x14ac:dyDescent="0.25">
      <c r="B46" s="13"/>
      <c r="C46" s="67" t="s">
        <v>95</v>
      </c>
      <c r="D46" s="68"/>
      <c r="E46" s="13"/>
      <c r="F46" s="13"/>
      <c r="G46" s="13"/>
      <c r="H46" s="13"/>
      <c r="I46" s="13"/>
      <c r="J46" s="13"/>
    </row>
    <row r="47" spans="2:10" x14ac:dyDescent="0.25">
      <c r="B47" s="13"/>
      <c r="C47" s="13"/>
      <c r="D47" s="69"/>
      <c r="E47" s="13"/>
      <c r="F47" s="13"/>
      <c r="G47" s="13"/>
      <c r="H47" s="13"/>
      <c r="I47" s="13"/>
      <c r="J47" s="13"/>
    </row>
    <row r="48" spans="2:10" ht="15.75" x14ac:dyDescent="0.25">
      <c r="B48" s="9"/>
      <c r="C48" s="9"/>
      <c r="D48" s="13"/>
      <c r="E48" s="70" t="s">
        <v>96</v>
      </c>
      <c r="F48" s="71"/>
      <c r="G48" s="71"/>
      <c r="H48" s="71"/>
      <c r="I48" s="71"/>
      <c r="J48" s="71"/>
    </row>
    <row r="49" spans="2:10" ht="15.75" x14ac:dyDescent="0.25">
      <c r="B49" s="9"/>
      <c r="C49" s="13"/>
      <c r="D49" s="13"/>
      <c r="E49" s="4"/>
      <c r="F49" s="13"/>
      <c r="G49" s="9"/>
      <c r="H49" s="9"/>
      <c r="I49" s="11"/>
      <c r="J49" s="52"/>
    </row>
    <row r="50" spans="2:10" ht="15.75" x14ac:dyDescent="0.25">
      <c r="B50" s="9"/>
      <c r="C50" s="15"/>
      <c r="D50" s="13"/>
      <c r="E50" s="9"/>
      <c r="F50" s="13"/>
      <c r="G50" s="13"/>
      <c r="H50" s="9"/>
      <c r="I50" s="11"/>
      <c r="J50" s="52"/>
    </row>
    <row r="51" spans="2:10" ht="15.75" x14ac:dyDescent="0.25">
      <c r="B51" s="9"/>
      <c r="C51" s="15"/>
      <c r="D51" s="73"/>
      <c r="E51" s="13"/>
      <c r="F51" s="13"/>
      <c r="G51" s="13"/>
      <c r="H51" s="9"/>
      <c r="I51" s="11"/>
      <c r="J51" s="52"/>
    </row>
    <row r="52" spans="2:10" ht="15.75" x14ac:dyDescent="0.25">
      <c r="B52" s="9"/>
      <c r="C52" s="15"/>
      <c r="D52" s="13"/>
      <c r="E52" s="9"/>
      <c r="F52" s="13"/>
      <c r="G52" s="13"/>
      <c r="H52" s="9"/>
      <c r="I52" s="11"/>
      <c r="J52" s="52"/>
    </row>
    <row r="53" spans="2:10" ht="18.75" x14ac:dyDescent="0.3">
      <c r="B53" s="229" t="s">
        <v>97</v>
      </c>
      <c r="C53" s="229"/>
      <c r="D53" s="229"/>
      <c r="E53" s="229"/>
      <c r="F53" s="23"/>
      <c r="G53" s="23"/>
      <c r="H53" s="23"/>
      <c r="I53" s="33"/>
      <c r="J53" s="33"/>
    </row>
    <row r="54" spans="2:10" ht="15.75" x14ac:dyDescent="0.25">
      <c r="B54" s="23"/>
      <c r="C54" s="23"/>
      <c r="D54" s="23"/>
      <c r="E54" s="23"/>
      <c r="F54" s="23"/>
      <c r="G54" s="23"/>
      <c r="H54" s="23"/>
      <c r="I54" s="33"/>
      <c r="J54" s="33"/>
    </row>
    <row r="55" spans="2:10" ht="15.75" x14ac:dyDescent="0.25">
      <c r="B55" s="23"/>
      <c r="C55" s="28" t="s">
        <v>76</v>
      </c>
      <c r="D55" s="28"/>
      <c r="E55" s="29"/>
      <c r="F55" s="13"/>
      <c r="G55" s="13"/>
      <c r="H55" s="23"/>
      <c r="I55" s="33"/>
      <c r="J55" s="33"/>
    </row>
    <row r="56" spans="2:10" ht="15.75" x14ac:dyDescent="0.25">
      <c r="B56" s="23"/>
      <c r="C56" s="9"/>
      <c r="D56" s="9"/>
      <c r="E56" s="9"/>
      <c r="F56" s="9"/>
      <c r="G56" s="9"/>
      <c r="H56" s="23"/>
      <c r="I56" s="33"/>
      <c r="J56" s="33"/>
    </row>
    <row r="57" spans="2:10" ht="15.75" x14ac:dyDescent="0.25">
      <c r="B57" s="23"/>
      <c r="C57" s="27" t="s">
        <v>77</v>
      </c>
      <c r="D57" s="31"/>
      <c r="E57" s="10">
        <v>0</v>
      </c>
      <c r="F57" s="32" t="s">
        <v>98</v>
      </c>
      <c r="G57" s="32"/>
      <c r="H57" s="23"/>
      <c r="I57" s="33"/>
      <c r="J57" s="33"/>
    </row>
    <row r="58" spans="2:10" ht="15.75" x14ac:dyDescent="0.25">
      <c r="B58" s="23"/>
      <c r="C58" s="27" t="s">
        <v>79</v>
      </c>
      <c r="D58" s="23"/>
      <c r="E58" s="10">
        <v>0</v>
      </c>
      <c r="F58" s="32" t="s">
        <v>98</v>
      </c>
      <c r="G58" s="23"/>
      <c r="H58" s="23"/>
      <c r="I58" s="33"/>
      <c r="J58" s="33"/>
    </row>
    <row r="59" spans="2:10" ht="15.75" x14ac:dyDescent="0.25">
      <c r="B59" s="23"/>
      <c r="C59" s="27" t="s">
        <v>80</v>
      </c>
      <c r="D59" s="23"/>
      <c r="E59" s="34">
        <f>1-(SUM(E57:E58))</f>
        <v>1</v>
      </c>
      <c r="F59" s="32" t="s">
        <v>98</v>
      </c>
      <c r="G59" s="23"/>
      <c r="H59" s="23"/>
      <c r="I59" s="33"/>
      <c r="J59" s="33"/>
    </row>
    <row r="60" spans="2:10" ht="15.75" x14ac:dyDescent="0.25">
      <c r="B60" s="9"/>
      <c r="C60" s="9"/>
      <c r="D60" s="9"/>
      <c r="E60" s="13"/>
      <c r="F60" s="13"/>
      <c r="G60" s="13"/>
      <c r="H60" s="13"/>
      <c r="I60" s="13"/>
      <c r="J60" s="13"/>
    </row>
    <row r="61" spans="2:10" ht="15.75" x14ac:dyDescent="0.25">
      <c r="B61" s="13"/>
      <c r="C61" s="28" t="s">
        <v>81</v>
      </c>
      <c r="D61" s="28"/>
      <c r="E61" s="29"/>
      <c r="F61" s="29"/>
      <c r="G61" s="29"/>
      <c r="H61" s="29"/>
      <c r="I61" s="29"/>
      <c r="J61" s="13"/>
    </row>
    <row r="62" spans="2:10" ht="15.75" x14ac:dyDescent="0.25">
      <c r="B62" s="9"/>
      <c r="C62" s="9"/>
      <c r="D62" s="9"/>
      <c r="E62" s="13"/>
      <c r="F62" s="13"/>
      <c r="G62" s="13"/>
      <c r="H62" s="13"/>
      <c r="I62" s="13"/>
      <c r="J62" s="13"/>
    </row>
    <row r="63" spans="2:10" ht="15.75" x14ac:dyDescent="0.25">
      <c r="B63" s="9"/>
      <c r="C63" s="9"/>
      <c r="D63" s="36" t="s">
        <v>82</v>
      </c>
      <c r="E63" s="37">
        <v>0.9</v>
      </c>
      <c r="F63" s="38"/>
      <c r="G63" s="38"/>
      <c r="H63" s="39"/>
      <c r="I63" s="102"/>
      <c r="J63" s="41"/>
    </row>
    <row r="64" spans="2:10" ht="15.75" x14ac:dyDescent="0.25">
      <c r="B64" s="9"/>
      <c r="C64" s="9"/>
      <c r="D64" s="45"/>
      <c r="E64" s="46"/>
      <c r="F64" s="74"/>
      <c r="G64" s="47"/>
      <c r="H64" s="48"/>
      <c r="I64" s="49"/>
      <c r="J64" s="35"/>
    </row>
    <row r="65" spans="2:10" ht="15.75" x14ac:dyDescent="0.25">
      <c r="B65" s="9"/>
      <c r="C65" s="9"/>
      <c r="D65" s="36" t="s">
        <v>86</v>
      </c>
      <c r="E65" s="232">
        <f>(1-E63)</f>
        <v>9.9999999999999978E-2</v>
      </c>
      <c r="F65" s="38" t="s">
        <v>87</v>
      </c>
      <c r="G65" s="38"/>
      <c r="H65" s="39"/>
      <c r="I65" s="40">
        <v>1</v>
      </c>
      <c r="J65" s="41"/>
    </row>
    <row r="66" spans="2:10" ht="15.75" x14ac:dyDescent="0.25">
      <c r="B66" s="9"/>
      <c r="C66" s="9"/>
      <c r="D66" s="45"/>
      <c r="E66" s="233"/>
      <c r="F66" s="47" t="s">
        <v>88</v>
      </c>
      <c r="G66" s="47"/>
      <c r="H66" s="48"/>
      <c r="I66" s="66">
        <f>1-I65</f>
        <v>0</v>
      </c>
      <c r="J66" s="41"/>
    </row>
    <row r="67" spans="2:10" ht="15.75" x14ac:dyDescent="0.25">
      <c r="B67" s="9"/>
      <c r="C67" s="9"/>
      <c r="D67" s="9"/>
      <c r="E67" s="9"/>
      <c r="F67" s="9"/>
      <c r="G67" s="9"/>
      <c r="H67" s="9"/>
      <c r="I67" s="11"/>
      <c r="J67" s="52"/>
    </row>
    <row r="68" spans="2:10" ht="15.75" x14ac:dyDescent="0.25">
      <c r="B68" s="13"/>
      <c r="C68" s="234" t="s">
        <v>89</v>
      </c>
      <c r="D68" s="234"/>
      <c r="E68" s="13"/>
      <c r="F68" s="13"/>
      <c r="G68" s="13"/>
      <c r="H68" s="13"/>
      <c r="I68" s="13"/>
      <c r="J68" s="13"/>
    </row>
    <row r="69" spans="2:10" ht="15.75" x14ac:dyDescent="0.25">
      <c r="B69" s="53"/>
      <c r="C69" s="53"/>
      <c r="D69" s="11"/>
      <c r="E69" s="13"/>
      <c r="F69" s="13"/>
      <c r="G69" s="13"/>
      <c r="H69" s="13"/>
      <c r="I69" s="13"/>
      <c r="J69" s="13"/>
    </row>
    <row r="70" spans="2:10" ht="15.75" x14ac:dyDescent="0.25">
      <c r="B70" s="53"/>
      <c r="C70" s="53"/>
      <c r="D70" s="54" t="s">
        <v>90</v>
      </c>
      <c r="E70" s="37">
        <v>0</v>
      </c>
      <c r="F70" s="55" t="s">
        <v>91</v>
      </c>
      <c r="G70" s="56"/>
      <c r="H70" s="56"/>
      <c r="I70" s="40">
        <v>1</v>
      </c>
      <c r="J70" s="13"/>
    </row>
    <row r="71" spans="2:10" ht="15.75" x14ac:dyDescent="0.25">
      <c r="B71" s="53"/>
      <c r="C71" s="57"/>
      <c r="D71" s="58"/>
      <c r="E71" s="75"/>
      <c r="F71" s="23" t="s">
        <v>92</v>
      </c>
      <c r="G71" s="53"/>
      <c r="H71" s="53"/>
      <c r="I71" s="59">
        <f>1-I70</f>
        <v>0</v>
      </c>
      <c r="J71" s="13"/>
    </row>
    <row r="72" spans="2:10" ht="15.75" x14ac:dyDescent="0.25">
      <c r="B72" s="53"/>
      <c r="C72" s="13"/>
      <c r="D72" s="60" t="s">
        <v>93</v>
      </c>
      <c r="E72" s="235">
        <f>1-E70</f>
        <v>1</v>
      </c>
      <c r="F72" s="55" t="s">
        <v>94</v>
      </c>
      <c r="G72" s="56"/>
      <c r="H72" s="56"/>
      <c r="I72" s="40">
        <v>1</v>
      </c>
      <c r="J72" s="13"/>
    </row>
    <row r="73" spans="2:10" ht="18.75" customHeight="1" x14ac:dyDescent="0.25">
      <c r="B73" s="9"/>
      <c r="C73" s="9"/>
      <c r="D73" s="62"/>
      <c r="E73" s="236"/>
      <c r="F73" s="64" t="s">
        <v>92</v>
      </c>
      <c r="G73" s="65"/>
      <c r="H73" s="65"/>
      <c r="I73" s="66">
        <f>1-I72</f>
        <v>0</v>
      </c>
      <c r="J73" s="52"/>
    </row>
    <row r="74" spans="2:10" ht="15.75" x14ac:dyDescent="0.25">
      <c r="B74" s="9"/>
      <c r="C74" s="9"/>
      <c r="D74" s="9"/>
      <c r="E74" s="9"/>
      <c r="F74" s="9"/>
      <c r="G74" s="9"/>
      <c r="H74" s="9"/>
      <c r="I74" s="11"/>
      <c r="J74" s="52"/>
    </row>
    <row r="75" spans="2:10" ht="15.75" x14ac:dyDescent="0.25">
      <c r="B75" s="13"/>
      <c r="C75" s="15"/>
      <c r="D75" s="73"/>
      <c r="E75" s="18"/>
      <c r="F75" s="18"/>
      <c r="G75" s="13"/>
      <c r="H75" s="13"/>
      <c r="I75" s="13"/>
      <c r="J75" s="13"/>
    </row>
    <row r="76" spans="2:10" x14ac:dyDescent="0.25">
      <c r="B76" s="13"/>
      <c r="C76" s="13"/>
      <c r="D76" s="13"/>
      <c r="E76" s="13"/>
      <c r="F76" s="13"/>
      <c r="G76" s="13"/>
      <c r="H76" s="13"/>
      <c r="I76" s="13"/>
      <c r="J76" s="13"/>
    </row>
    <row r="77" spans="2:10" ht="18.75" x14ac:dyDescent="0.3">
      <c r="B77" s="229" t="s">
        <v>99</v>
      </c>
      <c r="C77" s="229"/>
      <c r="D77" s="229"/>
      <c r="E77" s="229"/>
      <c r="F77" s="23"/>
      <c r="G77" s="23"/>
      <c r="H77" s="23"/>
      <c r="I77" s="33"/>
      <c r="J77" s="33"/>
    </row>
    <row r="78" spans="2:10" ht="15.75" x14ac:dyDescent="0.25">
      <c r="B78" s="23"/>
      <c r="C78" s="23"/>
      <c r="D78" s="23"/>
      <c r="E78" s="23"/>
      <c r="F78" s="23"/>
      <c r="G78" s="23"/>
      <c r="H78" s="23"/>
      <c r="I78" s="33"/>
      <c r="J78" s="33"/>
    </row>
    <row r="79" spans="2:10" ht="15.75" x14ac:dyDescent="0.25">
      <c r="B79" s="23"/>
      <c r="C79" s="28" t="s">
        <v>76</v>
      </c>
      <c r="D79" s="28"/>
      <c r="E79" s="29"/>
      <c r="F79" s="13"/>
      <c r="G79" s="13"/>
      <c r="H79" s="23"/>
      <c r="I79" s="33"/>
      <c r="J79" s="33"/>
    </row>
    <row r="80" spans="2:10" ht="15.75" x14ac:dyDescent="0.25">
      <c r="B80" s="23"/>
      <c r="C80" s="9"/>
      <c r="D80" s="9"/>
      <c r="E80" s="9"/>
      <c r="F80" s="9"/>
      <c r="G80" s="9"/>
      <c r="H80" s="23"/>
      <c r="I80" s="33"/>
      <c r="J80" s="33"/>
    </row>
    <row r="81" spans="2:10" ht="15.75" x14ac:dyDescent="0.25">
      <c r="B81" s="23"/>
      <c r="C81" s="27" t="s">
        <v>77</v>
      </c>
      <c r="D81" s="31"/>
      <c r="E81" s="10">
        <v>0</v>
      </c>
      <c r="F81" s="32" t="s">
        <v>78</v>
      </c>
      <c r="G81" s="32"/>
      <c r="H81" s="23"/>
      <c r="I81" s="33"/>
      <c r="J81" s="33"/>
    </row>
    <row r="82" spans="2:10" ht="15.75" x14ac:dyDescent="0.25">
      <c r="B82" s="23"/>
      <c r="C82" s="27" t="s">
        <v>79</v>
      </c>
      <c r="D82" s="23"/>
      <c r="E82" s="10">
        <v>0</v>
      </c>
      <c r="F82" s="32" t="s">
        <v>78</v>
      </c>
      <c r="G82" s="23"/>
      <c r="H82" s="76"/>
      <c r="I82" s="33"/>
      <c r="J82" s="33"/>
    </row>
    <row r="83" spans="2:10" ht="15.75" x14ac:dyDescent="0.25">
      <c r="B83" s="23"/>
      <c r="C83" s="27" t="s">
        <v>80</v>
      </c>
      <c r="D83" s="23"/>
      <c r="E83" s="34">
        <f>1-(SUM(E81:E82))</f>
        <v>1</v>
      </c>
      <c r="F83" s="32" t="s">
        <v>78</v>
      </c>
      <c r="G83" s="23"/>
      <c r="H83" s="76"/>
      <c r="I83" s="33"/>
      <c r="J83" s="33"/>
    </row>
    <row r="84" spans="2:10" ht="15.75" x14ac:dyDescent="0.25">
      <c r="B84" s="9"/>
      <c r="C84" s="9"/>
      <c r="D84" s="9"/>
      <c r="E84" s="13"/>
      <c r="F84" s="13"/>
      <c r="G84" s="13"/>
      <c r="H84" s="13"/>
      <c r="I84" s="13"/>
      <c r="J84" s="13"/>
    </row>
    <row r="85" spans="2:10" ht="15.75" x14ac:dyDescent="0.25">
      <c r="B85" s="13"/>
      <c r="C85" s="28" t="s">
        <v>81</v>
      </c>
      <c r="D85" s="28"/>
      <c r="E85" s="29"/>
      <c r="F85" s="29"/>
      <c r="G85" s="29"/>
      <c r="H85" s="29"/>
      <c r="I85" s="29"/>
      <c r="J85" s="13"/>
    </row>
    <row r="86" spans="2:10" ht="15.75" x14ac:dyDescent="0.25">
      <c r="B86" s="9"/>
      <c r="C86" s="9"/>
      <c r="D86" s="9"/>
      <c r="E86" s="13"/>
      <c r="F86" s="13"/>
      <c r="G86" s="13"/>
      <c r="H86" s="13"/>
      <c r="I86" s="13"/>
      <c r="J86" s="13"/>
    </row>
    <row r="87" spans="2:10" ht="15.75" x14ac:dyDescent="0.25">
      <c r="B87" s="9"/>
      <c r="C87" s="9"/>
      <c r="D87" s="54" t="s">
        <v>100</v>
      </c>
      <c r="E87" s="37">
        <v>0.1</v>
      </c>
      <c r="F87" s="55" t="s">
        <v>101</v>
      </c>
      <c r="G87" s="55"/>
      <c r="H87" s="39"/>
      <c r="I87" s="40">
        <v>0</v>
      </c>
      <c r="J87" s="35"/>
    </row>
    <row r="88" spans="2:10" ht="15.75" x14ac:dyDescent="0.25">
      <c r="B88" s="9"/>
      <c r="C88" s="9"/>
      <c r="D88" s="77"/>
      <c r="E88" s="46"/>
      <c r="F88" s="64" t="s">
        <v>102</v>
      </c>
      <c r="G88" s="64"/>
      <c r="H88" s="48"/>
      <c r="I88" s="51">
        <f>(1-I87)</f>
        <v>1</v>
      </c>
      <c r="J88" s="35"/>
    </row>
    <row r="89" spans="2:10" ht="15.75" x14ac:dyDescent="0.25">
      <c r="B89" s="9"/>
      <c r="C89" s="9"/>
      <c r="D89" s="78" t="s">
        <v>103</v>
      </c>
      <c r="E89" s="79">
        <f>(1-E87)</f>
        <v>0.9</v>
      </c>
      <c r="F89" s="80"/>
      <c r="G89" s="80"/>
      <c r="H89" s="81"/>
      <c r="I89" s="82"/>
      <c r="J89" s="13"/>
    </row>
    <row r="90" spans="2:10" ht="15.75" x14ac:dyDescent="0.25">
      <c r="B90" s="9"/>
      <c r="C90" s="9"/>
      <c r="D90" s="83"/>
      <c r="E90" s="84"/>
      <c r="F90" s="23"/>
      <c r="G90" s="23"/>
      <c r="H90" s="85"/>
      <c r="I90" s="52"/>
      <c r="J90" s="13"/>
    </row>
    <row r="91" spans="2:10" x14ac:dyDescent="0.25">
      <c r="B91" s="13"/>
      <c r="C91" s="13"/>
      <c r="D91" s="13"/>
      <c r="E91" s="13"/>
      <c r="F91" s="13"/>
      <c r="G91" s="13"/>
      <c r="H91" s="13"/>
      <c r="I91" s="13"/>
      <c r="J91" s="13"/>
    </row>
    <row r="92" spans="2:10" ht="15.75" x14ac:dyDescent="0.25">
      <c r="B92" s="13"/>
      <c r="C92" s="72"/>
      <c r="D92" s="9"/>
      <c r="E92" s="13"/>
      <c r="F92" s="13"/>
      <c r="G92" s="13"/>
      <c r="H92" s="13"/>
      <c r="I92" s="13"/>
      <c r="J92" s="13"/>
    </row>
    <row r="93" spans="2:10" ht="18.75" x14ac:dyDescent="0.3">
      <c r="B93" s="229" t="s">
        <v>104</v>
      </c>
      <c r="C93" s="229"/>
      <c r="D93" s="229"/>
      <c r="E93" s="229"/>
      <c r="F93" s="23"/>
      <c r="G93" s="23"/>
      <c r="H93" s="23"/>
      <c r="I93" s="33"/>
      <c r="J93" s="33"/>
    </row>
    <row r="94" spans="2:10" ht="15.75" x14ac:dyDescent="0.25">
      <c r="B94" s="23"/>
      <c r="C94" s="23"/>
      <c r="D94" s="23"/>
      <c r="E94" s="23"/>
      <c r="F94" s="23"/>
      <c r="G94" s="23"/>
      <c r="H94" s="23"/>
      <c r="I94" s="33"/>
      <c r="J94" s="33"/>
    </row>
    <row r="95" spans="2:10" ht="15.75" x14ac:dyDescent="0.25">
      <c r="B95" s="23"/>
      <c r="C95" s="28" t="s">
        <v>76</v>
      </c>
      <c r="D95" s="28"/>
      <c r="E95" s="29"/>
      <c r="F95" s="13"/>
      <c r="G95" s="13"/>
      <c r="H95" s="23"/>
      <c r="I95" s="33"/>
      <c r="J95" s="33"/>
    </row>
    <row r="96" spans="2:10" ht="15.75" x14ac:dyDescent="0.25">
      <c r="B96" s="23"/>
      <c r="C96" s="9"/>
      <c r="D96" s="9"/>
      <c r="E96" s="9"/>
      <c r="F96" s="9"/>
      <c r="G96" s="9"/>
      <c r="H96" s="23"/>
      <c r="I96" s="33"/>
      <c r="J96" s="33"/>
    </row>
    <row r="97" spans="2:10" ht="15.75" x14ac:dyDescent="0.25">
      <c r="B97" s="23"/>
      <c r="C97" s="27" t="s">
        <v>77</v>
      </c>
      <c r="D97" s="31"/>
      <c r="E97" s="10">
        <v>0</v>
      </c>
      <c r="F97" s="32" t="s">
        <v>78</v>
      </c>
      <c r="G97" s="32"/>
      <c r="H97" s="23"/>
      <c r="I97" s="33"/>
      <c r="J97" s="33"/>
    </row>
    <row r="98" spans="2:10" ht="15.75" x14ac:dyDescent="0.25">
      <c r="B98" s="23"/>
      <c r="C98" s="27" t="s">
        <v>79</v>
      </c>
      <c r="D98" s="23"/>
      <c r="E98" s="10">
        <v>0</v>
      </c>
      <c r="F98" s="32" t="s">
        <v>78</v>
      </c>
      <c r="G98" s="23"/>
      <c r="H98" s="76"/>
      <c r="I98" s="33"/>
      <c r="J98" s="33"/>
    </row>
    <row r="99" spans="2:10" ht="15.75" x14ac:dyDescent="0.25">
      <c r="B99" s="23"/>
      <c r="C99" s="27" t="s">
        <v>80</v>
      </c>
      <c r="D99" s="23"/>
      <c r="E99" s="34">
        <f>1-(SUM(E97:E98))</f>
        <v>1</v>
      </c>
      <c r="F99" s="32" t="s">
        <v>78</v>
      </c>
      <c r="G99" s="23"/>
      <c r="H99" s="76"/>
      <c r="I99" s="33"/>
      <c r="J99" s="33"/>
    </row>
    <row r="100" spans="2:10" ht="15.75" x14ac:dyDescent="0.25">
      <c r="B100" s="9"/>
      <c r="C100" s="9"/>
      <c r="D100" s="9"/>
      <c r="E100" s="13"/>
      <c r="F100" s="13"/>
      <c r="G100" s="13"/>
      <c r="H100" s="13"/>
      <c r="I100" s="13"/>
      <c r="J100" s="13"/>
    </row>
    <row r="101" spans="2:10" ht="15.75" x14ac:dyDescent="0.25">
      <c r="B101" s="13"/>
      <c r="C101" s="28" t="s">
        <v>81</v>
      </c>
      <c r="D101" s="28"/>
      <c r="E101" s="29"/>
      <c r="F101" s="29"/>
      <c r="G101" s="29"/>
      <c r="H101" s="29"/>
      <c r="I101" s="29"/>
      <c r="J101" s="13"/>
    </row>
    <row r="102" spans="2:10" ht="15.75" x14ac:dyDescent="0.25">
      <c r="B102" s="9"/>
      <c r="C102" s="9"/>
      <c r="D102" s="9"/>
      <c r="E102" s="13"/>
      <c r="F102" s="13"/>
      <c r="G102" s="13"/>
      <c r="H102" s="13"/>
      <c r="I102" s="13"/>
      <c r="J102" s="13"/>
    </row>
    <row r="103" spans="2:10" ht="15.75" x14ac:dyDescent="0.25">
      <c r="B103" s="9"/>
      <c r="C103" s="9"/>
      <c r="D103" s="54" t="s">
        <v>100</v>
      </c>
      <c r="E103" s="37">
        <v>0.7</v>
      </c>
      <c r="F103" s="55" t="s">
        <v>101</v>
      </c>
      <c r="G103" s="55"/>
      <c r="H103" s="39"/>
      <c r="I103" s="40">
        <v>0</v>
      </c>
      <c r="J103" s="35"/>
    </row>
    <row r="104" spans="2:10" ht="15.75" x14ac:dyDescent="0.25">
      <c r="B104" s="9"/>
      <c r="C104" s="9"/>
      <c r="D104" s="77"/>
      <c r="E104" s="46"/>
      <c r="F104" s="64" t="s">
        <v>102</v>
      </c>
      <c r="G104" s="64"/>
      <c r="H104" s="48"/>
      <c r="I104" s="51">
        <f>(1-I103)</f>
        <v>1</v>
      </c>
      <c r="J104" s="35"/>
    </row>
    <row r="105" spans="2:10" ht="15.75" x14ac:dyDescent="0.25">
      <c r="B105" s="9"/>
      <c r="C105" s="9"/>
      <c r="D105" s="78" t="s">
        <v>103</v>
      </c>
      <c r="E105" s="79">
        <f>(1-E103)</f>
        <v>0.30000000000000004</v>
      </c>
      <c r="F105" s="80"/>
      <c r="G105" s="80"/>
      <c r="H105" s="81"/>
      <c r="I105" s="82"/>
      <c r="J105" s="13"/>
    </row>
    <row r="106" spans="2:10" ht="15.75" x14ac:dyDescent="0.25">
      <c r="B106" s="9"/>
      <c r="C106" s="9"/>
      <c r="D106" s="83"/>
      <c r="E106" s="84"/>
      <c r="F106" s="23"/>
      <c r="G106" s="23"/>
      <c r="H106" s="85"/>
      <c r="I106" s="52"/>
      <c r="J106" s="13"/>
    </row>
    <row r="107" spans="2:10" x14ac:dyDescent="0.25">
      <c r="B107" s="13"/>
      <c r="C107" s="13"/>
      <c r="D107" s="13"/>
      <c r="E107" s="13"/>
      <c r="F107" s="13"/>
      <c r="G107" s="13"/>
      <c r="H107" s="13"/>
      <c r="I107" s="13"/>
      <c r="J107" s="13"/>
    </row>
    <row r="108" spans="2:10" x14ac:dyDescent="0.25">
      <c r="B108" s="13"/>
      <c r="C108" s="13"/>
      <c r="D108" s="13"/>
      <c r="E108" s="13"/>
      <c r="F108" s="13"/>
      <c r="G108" s="13"/>
      <c r="H108" s="13"/>
      <c r="I108" s="13"/>
      <c r="J108" s="13"/>
    </row>
    <row r="109" spans="2:10" ht="15.75" x14ac:dyDescent="0.25">
      <c r="B109" s="13"/>
      <c r="C109" s="72"/>
      <c r="D109" s="9"/>
      <c r="E109" s="13"/>
      <c r="F109" s="13"/>
      <c r="G109" s="13"/>
      <c r="H109" s="13"/>
      <c r="I109" s="13"/>
      <c r="J109" s="13"/>
    </row>
    <row r="110" spans="2:10" ht="15.75" x14ac:dyDescent="0.25">
      <c r="B110" s="13"/>
      <c r="C110" s="72"/>
      <c r="D110" s="9"/>
      <c r="E110" s="13"/>
      <c r="F110" s="13"/>
      <c r="G110" s="13"/>
      <c r="H110" s="13"/>
      <c r="I110" s="13"/>
      <c r="J110" s="13"/>
    </row>
    <row r="111" spans="2:10" ht="18.75" x14ac:dyDescent="0.3">
      <c r="B111" s="231" t="s">
        <v>105</v>
      </c>
      <c r="C111" s="231"/>
      <c r="D111" s="231"/>
      <c r="E111" s="231"/>
      <c r="F111" s="231"/>
      <c r="G111" s="231"/>
      <c r="H111" s="231"/>
      <c r="I111" s="231"/>
      <c r="J111" s="231"/>
    </row>
    <row r="112" spans="2:10" x14ac:dyDescent="0.25">
      <c r="B112" s="13"/>
      <c r="C112" s="13"/>
      <c r="D112" s="13"/>
      <c r="E112" s="13"/>
      <c r="F112" s="13"/>
      <c r="G112" s="13"/>
      <c r="H112" s="13"/>
      <c r="I112" s="13"/>
      <c r="J112" s="13"/>
    </row>
    <row r="113" spans="2:10" ht="18.75" x14ac:dyDescent="0.3">
      <c r="B113" s="229" t="s">
        <v>106</v>
      </c>
      <c r="C113" s="229"/>
      <c r="D113" s="229"/>
      <c r="E113" s="229"/>
      <c r="F113" s="13"/>
      <c r="G113" s="13"/>
      <c r="H113" s="13"/>
      <c r="I113" s="13"/>
      <c r="J113" s="13"/>
    </row>
    <row r="114" spans="2:10" ht="15.75" x14ac:dyDescent="0.25">
      <c r="B114" s="13"/>
      <c r="C114" s="27"/>
      <c r="D114" s="230"/>
      <c r="E114" s="230"/>
      <c r="F114" s="230"/>
      <c r="G114" s="20"/>
      <c r="H114" s="27"/>
      <c r="I114" s="27"/>
      <c r="J114" s="27"/>
    </row>
    <row r="115" spans="2:10" ht="15.75" x14ac:dyDescent="0.25">
      <c r="B115" s="13"/>
      <c r="C115" s="13"/>
      <c r="D115" s="20"/>
      <c r="E115" s="86" t="s">
        <v>107</v>
      </c>
      <c r="F115" s="86" t="s">
        <v>108</v>
      </c>
      <c r="G115" s="86" t="s">
        <v>109</v>
      </c>
      <c r="H115" s="13"/>
      <c r="I115" s="13"/>
      <c r="J115" s="13"/>
    </row>
    <row r="116" spans="2:10" ht="15.75" x14ac:dyDescent="0.25">
      <c r="B116" s="13"/>
      <c r="C116" s="13"/>
      <c r="D116" s="87" t="s">
        <v>174</v>
      </c>
      <c r="E116" s="88"/>
      <c r="F116" s="88">
        <v>2</v>
      </c>
      <c r="G116" s="88">
        <v>2</v>
      </c>
      <c r="H116" s="35"/>
      <c r="I116" s="13"/>
      <c r="J116" s="13"/>
    </row>
    <row r="117" spans="2:10" ht="15.75" x14ac:dyDescent="0.25">
      <c r="B117" s="13"/>
      <c r="C117" s="13"/>
      <c r="D117" s="87" t="s">
        <v>110</v>
      </c>
      <c r="E117" s="88">
        <v>30.15</v>
      </c>
      <c r="F117" s="88">
        <v>2</v>
      </c>
      <c r="G117" s="88">
        <v>2</v>
      </c>
      <c r="H117" s="13"/>
      <c r="I117" s="13"/>
      <c r="J117" s="13"/>
    </row>
    <row r="118" spans="2:10" ht="15.75" x14ac:dyDescent="0.25">
      <c r="B118" s="13"/>
      <c r="C118" s="13"/>
      <c r="D118" s="87" t="s">
        <v>111</v>
      </c>
      <c r="E118" s="88">
        <v>112.5</v>
      </c>
      <c r="F118" s="88">
        <v>2</v>
      </c>
      <c r="G118" s="88">
        <v>2</v>
      </c>
      <c r="H118" s="13"/>
      <c r="I118" s="13"/>
      <c r="J118" s="13"/>
    </row>
    <row r="119" spans="2:10" ht="15.75" x14ac:dyDescent="0.25">
      <c r="B119" s="13"/>
      <c r="C119" s="13"/>
      <c r="D119" s="87" t="s">
        <v>112</v>
      </c>
      <c r="E119" s="88">
        <v>119.7</v>
      </c>
      <c r="F119" s="88">
        <v>2</v>
      </c>
      <c r="G119" s="88">
        <v>2</v>
      </c>
      <c r="H119" s="27"/>
      <c r="I119" s="27"/>
      <c r="J119" s="27"/>
    </row>
    <row r="120" spans="2:10" ht="15.75" x14ac:dyDescent="0.25">
      <c r="B120" s="13"/>
      <c r="C120" s="13"/>
      <c r="D120" s="87" t="s">
        <v>113</v>
      </c>
      <c r="E120" s="88">
        <v>187.4</v>
      </c>
      <c r="F120" s="88">
        <v>2</v>
      </c>
      <c r="G120" s="88">
        <v>2</v>
      </c>
      <c r="H120" s="89"/>
      <c r="I120" s="90"/>
      <c r="J120" s="27"/>
    </row>
    <row r="121" spans="2:10" ht="15.75" x14ac:dyDescent="0.25">
      <c r="B121" s="13"/>
      <c r="C121" s="13"/>
      <c r="D121" s="87" t="s">
        <v>114</v>
      </c>
      <c r="E121" s="88"/>
      <c r="F121" s="88">
        <v>2</v>
      </c>
      <c r="G121" s="88">
        <v>2</v>
      </c>
      <c r="H121" s="89"/>
      <c r="I121" s="90"/>
      <c r="J121" s="27"/>
    </row>
    <row r="122" spans="2:10" ht="15.75" x14ac:dyDescent="0.25">
      <c r="B122" s="13"/>
      <c r="C122" s="13"/>
      <c r="D122" s="87" t="s">
        <v>49</v>
      </c>
      <c r="E122" s="88">
        <v>345.5</v>
      </c>
      <c r="F122" s="88">
        <v>2</v>
      </c>
      <c r="G122" s="88">
        <v>2</v>
      </c>
      <c r="H122" s="89"/>
      <c r="I122" s="90"/>
      <c r="J122" s="27"/>
    </row>
    <row r="123" spans="2:10" ht="15.75" x14ac:dyDescent="0.25">
      <c r="B123" s="13"/>
      <c r="C123" s="13"/>
      <c r="D123" s="87" t="s">
        <v>115</v>
      </c>
      <c r="E123" s="88"/>
      <c r="F123" s="88">
        <v>2</v>
      </c>
      <c r="G123" s="88">
        <v>2</v>
      </c>
      <c r="H123" s="89"/>
      <c r="I123" s="90"/>
      <c r="J123" s="27"/>
    </row>
    <row r="124" spans="2:10" ht="15.75" x14ac:dyDescent="0.25">
      <c r="B124" s="13"/>
      <c r="C124" s="13"/>
      <c r="D124" s="87" t="s">
        <v>116</v>
      </c>
      <c r="E124" s="88">
        <v>698.2</v>
      </c>
      <c r="F124" s="88">
        <v>2</v>
      </c>
      <c r="G124" s="88">
        <v>2</v>
      </c>
      <c r="H124" s="89"/>
      <c r="I124" s="90"/>
      <c r="J124" s="27"/>
    </row>
    <row r="125" spans="2:10" ht="15.75" x14ac:dyDescent="0.25">
      <c r="B125" s="13"/>
      <c r="C125" s="13"/>
      <c r="D125" s="87"/>
      <c r="E125" s="88"/>
      <c r="F125" s="88"/>
      <c r="G125" s="88"/>
      <c r="H125" s="89"/>
      <c r="I125" s="90"/>
      <c r="J125" s="27"/>
    </row>
    <row r="126" spans="2:10" x14ac:dyDescent="0.25">
      <c r="B126" s="13"/>
      <c r="C126" s="13"/>
      <c r="D126" s="13"/>
      <c r="E126" s="13"/>
      <c r="F126" s="13"/>
      <c r="G126" s="13"/>
      <c r="H126" s="13"/>
      <c r="I126" s="13"/>
      <c r="J126" s="13"/>
    </row>
    <row r="127" spans="2:10" ht="21" x14ac:dyDescent="0.3">
      <c r="B127" s="91" t="s">
        <v>117</v>
      </c>
      <c r="C127" s="92"/>
      <c r="D127" s="92"/>
      <c r="E127" s="92"/>
      <c r="F127" s="13"/>
      <c r="G127" s="13"/>
      <c r="H127" s="13"/>
      <c r="I127" s="13"/>
      <c r="J127" s="13"/>
    </row>
    <row r="128" spans="2:10" x14ac:dyDescent="0.25">
      <c r="B128" s="13"/>
      <c r="C128" s="13"/>
      <c r="D128" s="13"/>
      <c r="E128" s="13"/>
      <c r="F128" s="13"/>
      <c r="G128" s="13"/>
      <c r="H128" s="13"/>
      <c r="I128" s="13"/>
      <c r="J128" s="13"/>
    </row>
    <row r="129" spans="2:10" ht="15.75" x14ac:dyDescent="0.25">
      <c r="B129" s="13"/>
      <c r="C129" s="13"/>
      <c r="D129" s="93" t="s">
        <v>118</v>
      </c>
      <c r="E129" s="13"/>
      <c r="F129" s="13"/>
      <c r="G129" s="13"/>
      <c r="H129" s="35"/>
      <c r="I129" s="13"/>
      <c r="J129" s="13"/>
    </row>
    <row r="130" spans="2:10" x14ac:dyDescent="0.25">
      <c r="B130" s="13"/>
      <c r="C130" s="13"/>
      <c r="D130" s="13"/>
      <c r="E130" s="13"/>
      <c r="F130" s="13"/>
      <c r="G130" s="13"/>
      <c r="H130" s="35"/>
      <c r="I130" s="13"/>
      <c r="J130" s="13"/>
    </row>
    <row r="131" spans="2:10" ht="17.25" x14ac:dyDescent="0.25">
      <c r="B131" s="13"/>
      <c r="C131" s="94" t="s">
        <v>121</v>
      </c>
      <c r="D131" s="94" t="s">
        <v>122</v>
      </c>
      <c r="E131" s="95"/>
      <c r="F131" s="13"/>
      <c r="G131" s="13"/>
      <c r="H131" s="35"/>
      <c r="I131" s="13"/>
      <c r="J131" s="13"/>
    </row>
    <row r="132" spans="2:10" ht="15.75" x14ac:dyDescent="0.25">
      <c r="B132" s="13"/>
      <c r="C132" s="13">
        <v>0</v>
      </c>
      <c r="D132" s="164">
        <v>5</v>
      </c>
      <c r="E132" s="88">
        <v>1.9423819999999998</v>
      </c>
      <c r="F132" s="13"/>
      <c r="G132" s="13"/>
      <c r="H132" s="35"/>
      <c r="I132" s="13"/>
      <c r="J132" s="13"/>
    </row>
    <row r="133" spans="2:10" ht="15.75" x14ac:dyDescent="0.25">
      <c r="B133" s="13"/>
      <c r="C133" s="94">
        <f>+D132</f>
        <v>5</v>
      </c>
      <c r="D133" s="164">
        <v>15</v>
      </c>
      <c r="E133" s="88">
        <v>2.068832</v>
      </c>
      <c r="F133" s="13"/>
      <c r="G133" s="13"/>
      <c r="H133" s="96"/>
      <c r="I133" s="13"/>
      <c r="J133" s="13"/>
    </row>
    <row r="134" spans="2:10" ht="15.75" x14ac:dyDescent="0.25">
      <c r="B134" s="13"/>
      <c r="C134" s="94">
        <f t="shared" ref="C134:C136" si="0">+D133</f>
        <v>15</v>
      </c>
      <c r="D134" s="164">
        <v>25</v>
      </c>
      <c r="E134" s="88">
        <v>2.6757819999999999</v>
      </c>
      <c r="F134" s="13"/>
      <c r="G134" s="13"/>
      <c r="H134" s="13"/>
      <c r="I134" s="13"/>
      <c r="J134" s="13"/>
    </row>
    <row r="135" spans="2:10" ht="15.75" x14ac:dyDescent="0.25">
      <c r="B135" s="13"/>
      <c r="C135" s="94">
        <f t="shared" si="0"/>
        <v>25</v>
      </c>
      <c r="D135" s="164" t="s">
        <v>123</v>
      </c>
      <c r="E135" s="88">
        <v>3.1962820000000001</v>
      </c>
      <c r="F135" s="13"/>
      <c r="G135" s="13"/>
      <c r="H135" s="13"/>
      <c r="I135" s="13"/>
      <c r="J135" s="13"/>
    </row>
    <row r="136" spans="2:10" ht="15.75" x14ac:dyDescent="0.25">
      <c r="B136" s="13"/>
      <c r="C136" s="94" t="str">
        <f t="shared" si="0"/>
        <v>-</v>
      </c>
      <c r="D136" s="164" t="s">
        <v>123</v>
      </c>
      <c r="E136" s="88">
        <v>2</v>
      </c>
      <c r="F136" s="13"/>
      <c r="G136" s="13"/>
      <c r="H136" s="13"/>
      <c r="I136" s="13"/>
      <c r="J136" s="13"/>
    </row>
    <row r="137" spans="2:10" x14ac:dyDescent="0.25">
      <c r="B137" s="13"/>
      <c r="C137" s="13"/>
      <c r="D137" s="13"/>
      <c r="E137" s="13"/>
      <c r="F137" s="13"/>
      <c r="G137" s="13"/>
      <c r="H137" s="13"/>
      <c r="I137" s="13"/>
      <c r="J137" s="13"/>
    </row>
    <row r="138" spans="2:10" ht="15.75" x14ac:dyDescent="0.25">
      <c r="B138" s="13"/>
      <c r="C138" s="13"/>
      <c r="D138" s="93" t="s">
        <v>97</v>
      </c>
      <c r="E138" s="13"/>
      <c r="F138" s="13"/>
      <c r="G138" s="13"/>
      <c r="H138" s="13"/>
      <c r="I138" s="13"/>
      <c r="J138" s="13"/>
    </row>
    <row r="139" spans="2:10" x14ac:dyDescent="0.25">
      <c r="B139" s="13"/>
      <c r="C139" s="13"/>
      <c r="D139" s="97"/>
      <c r="E139" s="13"/>
      <c r="F139" s="13"/>
      <c r="G139" s="13"/>
      <c r="H139" s="13"/>
      <c r="I139" s="13"/>
      <c r="J139" s="13"/>
    </row>
    <row r="140" spans="2:10" ht="17.25" x14ac:dyDescent="0.25">
      <c r="B140" s="13"/>
      <c r="C140" s="94" t="s">
        <v>121</v>
      </c>
      <c r="D140" s="94" t="s">
        <v>122</v>
      </c>
      <c r="E140" s="13"/>
      <c r="F140" s="13"/>
      <c r="G140" s="13"/>
      <c r="H140" s="13"/>
      <c r="I140" s="13"/>
      <c r="J140" s="13"/>
    </row>
    <row r="141" spans="2:10" ht="15.75" x14ac:dyDescent="0.25">
      <c r="B141" s="13"/>
      <c r="C141" s="13">
        <v>0</v>
      </c>
      <c r="D141" s="164" t="s">
        <v>123</v>
      </c>
      <c r="E141" s="88">
        <v>2.8020059999999996</v>
      </c>
      <c r="F141" s="13"/>
      <c r="G141" s="13"/>
      <c r="H141" s="13"/>
      <c r="I141" s="13"/>
      <c r="J141" s="13"/>
    </row>
    <row r="142" spans="2:10" ht="15.75" x14ac:dyDescent="0.25">
      <c r="B142" s="13"/>
      <c r="C142" s="13" t="str">
        <f>+D141</f>
        <v>-</v>
      </c>
      <c r="D142" s="164" t="s">
        <v>123</v>
      </c>
      <c r="E142" s="88">
        <v>2.8020059999999996</v>
      </c>
      <c r="F142" s="13"/>
      <c r="G142" s="13"/>
      <c r="H142" s="13"/>
      <c r="I142" s="13"/>
      <c r="J142" s="13"/>
    </row>
    <row r="143" spans="2:10" ht="15.75" x14ac:dyDescent="0.25">
      <c r="B143" s="13"/>
      <c r="C143" s="13" t="str">
        <f>+D142</f>
        <v>-</v>
      </c>
      <c r="D143" s="164" t="s">
        <v>123</v>
      </c>
      <c r="E143" s="88">
        <v>2.8020059999999996</v>
      </c>
      <c r="F143" s="13"/>
      <c r="G143" s="13"/>
      <c r="H143" s="13"/>
      <c r="I143" s="13"/>
      <c r="J143" s="13"/>
    </row>
    <row r="144" spans="2:10" ht="15.75" x14ac:dyDescent="0.25">
      <c r="B144" s="13"/>
      <c r="C144" s="13" t="str">
        <f>+D143</f>
        <v>-</v>
      </c>
      <c r="D144" s="164" t="s">
        <v>123</v>
      </c>
      <c r="E144" s="88">
        <v>2.8020059999999996</v>
      </c>
      <c r="F144" s="13"/>
      <c r="G144" s="13"/>
      <c r="H144" s="13"/>
      <c r="I144" s="13"/>
      <c r="J144" s="13"/>
    </row>
    <row r="145" spans="2:10" ht="15.75" x14ac:dyDescent="0.25">
      <c r="B145" s="13"/>
      <c r="C145" s="13" t="str">
        <f>+D144</f>
        <v>-</v>
      </c>
      <c r="D145" s="164" t="s">
        <v>123</v>
      </c>
      <c r="E145" s="88">
        <v>2.8020059999999996</v>
      </c>
      <c r="F145" s="13"/>
      <c r="G145" s="13"/>
      <c r="H145" s="13"/>
      <c r="I145" s="13"/>
      <c r="J145" s="13"/>
    </row>
    <row r="146" spans="2:10" x14ac:dyDescent="0.25">
      <c r="B146" s="13"/>
      <c r="C146" s="13"/>
      <c r="D146" s="13"/>
      <c r="E146" s="13"/>
      <c r="F146" s="13"/>
      <c r="G146" s="13"/>
      <c r="H146" s="13"/>
      <c r="I146" s="13"/>
      <c r="J146" s="13"/>
    </row>
    <row r="147" spans="2:10" ht="15.75" x14ac:dyDescent="0.25">
      <c r="B147" s="13"/>
      <c r="C147" s="13"/>
      <c r="D147" s="93" t="s">
        <v>99</v>
      </c>
      <c r="E147" s="98"/>
      <c r="F147" s="98"/>
      <c r="G147" s="13"/>
      <c r="H147" s="13"/>
      <c r="I147" s="13"/>
      <c r="J147" s="13"/>
    </row>
    <row r="148" spans="2:10" x14ac:dyDescent="0.25">
      <c r="B148" s="13"/>
      <c r="C148" s="13"/>
      <c r="D148" s="97"/>
      <c r="E148" s="98"/>
      <c r="F148" s="98"/>
      <c r="G148" s="13"/>
      <c r="H148" s="13"/>
      <c r="I148" s="13"/>
      <c r="J148" s="13"/>
    </row>
    <row r="149" spans="2:10" ht="17.25" x14ac:dyDescent="0.25">
      <c r="B149" s="13"/>
      <c r="C149" s="94" t="s">
        <v>121</v>
      </c>
      <c r="D149" s="94" t="s">
        <v>122</v>
      </c>
      <c r="E149" s="13"/>
      <c r="F149" s="13"/>
      <c r="G149" s="13"/>
      <c r="H149" s="13"/>
      <c r="I149" s="13"/>
      <c r="J149" s="13"/>
    </row>
    <row r="150" spans="2:10" ht="15.75" x14ac:dyDescent="0.25">
      <c r="B150" s="13"/>
      <c r="C150" s="13">
        <v>0</v>
      </c>
      <c r="D150" s="164" t="s">
        <v>123</v>
      </c>
      <c r="E150" s="88">
        <v>1.2392000000000001</v>
      </c>
      <c r="F150" s="13"/>
      <c r="G150" s="13"/>
      <c r="H150" s="13"/>
      <c r="I150" s="13"/>
      <c r="J150" s="13"/>
    </row>
    <row r="151" spans="2:10" ht="15.75" x14ac:dyDescent="0.25">
      <c r="B151" s="13"/>
      <c r="C151" s="13" t="str">
        <f>+D150</f>
        <v>-</v>
      </c>
      <c r="D151" s="164" t="s">
        <v>123</v>
      </c>
      <c r="E151" s="88">
        <v>1.2392000000000001</v>
      </c>
      <c r="F151" s="13"/>
      <c r="G151" s="13"/>
      <c r="H151" s="13"/>
      <c r="I151" s="13"/>
      <c r="J151" s="13"/>
    </row>
    <row r="152" spans="2:10" ht="15.75" x14ac:dyDescent="0.25">
      <c r="B152" s="13"/>
      <c r="C152" s="13" t="str">
        <f>+D151</f>
        <v>-</v>
      </c>
      <c r="D152" s="164" t="s">
        <v>123</v>
      </c>
      <c r="E152" s="88">
        <v>1.2392000000000001</v>
      </c>
      <c r="F152" s="13"/>
      <c r="G152" s="13"/>
      <c r="H152" s="13"/>
      <c r="I152" s="13"/>
      <c r="J152" s="13"/>
    </row>
    <row r="153" spans="2:10" ht="15.75" x14ac:dyDescent="0.25">
      <c r="B153" s="13"/>
      <c r="C153" s="13" t="str">
        <f>+D152</f>
        <v>-</v>
      </c>
      <c r="D153" s="164" t="s">
        <v>123</v>
      </c>
      <c r="E153" s="88">
        <v>1.2392000000000001</v>
      </c>
      <c r="F153" s="13"/>
      <c r="G153" s="13"/>
      <c r="H153" s="13"/>
      <c r="I153" s="13"/>
      <c r="J153" s="13"/>
    </row>
    <row r="154" spans="2:10" ht="15.75" x14ac:dyDescent="0.25">
      <c r="B154" s="13"/>
      <c r="C154" s="13" t="str">
        <f>+D153</f>
        <v>-</v>
      </c>
      <c r="D154" s="164" t="s">
        <v>123</v>
      </c>
      <c r="E154" s="88">
        <v>1.2392000000000001</v>
      </c>
      <c r="F154" s="13"/>
      <c r="G154" s="13"/>
      <c r="H154" s="13"/>
      <c r="I154" s="13"/>
      <c r="J154" s="13"/>
    </row>
    <row r="155" spans="2:10" x14ac:dyDescent="0.25">
      <c r="B155" s="13"/>
      <c r="C155" s="13"/>
      <c r="D155" s="13"/>
      <c r="E155" s="13"/>
      <c r="F155" s="13"/>
      <c r="G155" s="13"/>
      <c r="H155" s="13"/>
      <c r="I155" s="13"/>
      <c r="J155" s="13"/>
    </row>
    <row r="156" spans="2:10" ht="15.75" x14ac:dyDescent="0.25">
      <c r="B156" s="13"/>
      <c r="C156" s="13"/>
      <c r="D156" s="93" t="s">
        <v>119</v>
      </c>
      <c r="E156" s="13"/>
      <c r="F156" s="13"/>
      <c r="G156" s="13"/>
      <c r="H156" s="13"/>
      <c r="I156" s="13"/>
      <c r="J156" s="13"/>
    </row>
    <row r="157" spans="2:10" s="101" customFormat="1" x14ac:dyDescent="0.25">
      <c r="B157" s="97"/>
      <c r="C157" s="97"/>
      <c r="D157" s="97"/>
      <c r="E157" s="97"/>
      <c r="F157" s="97"/>
      <c r="G157" s="97"/>
      <c r="H157" s="97"/>
      <c r="I157" s="97"/>
      <c r="J157" s="97"/>
    </row>
    <row r="158" spans="2:10" ht="17.25" x14ac:dyDescent="0.25">
      <c r="B158" s="13"/>
      <c r="C158" s="94" t="s">
        <v>121</v>
      </c>
      <c r="D158" s="94" t="s">
        <v>122</v>
      </c>
      <c r="E158" s="13"/>
      <c r="F158" s="13"/>
      <c r="G158" s="13"/>
      <c r="H158" s="13"/>
      <c r="I158" s="13"/>
      <c r="J158" s="13"/>
    </row>
    <row r="159" spans="2:10" ht="15.75" x14ac:dyDescent="0.25">
      <c r="B159" s="13"/>
      <c r="C159" s="13">
        <v>0</v>
      </c>
      <c r="D159" s="164" t="s">
        <v>123</v>
      </c>
      <c r="E159" s="88">
        <v>0.47099999999999997</v>
      </c>
      <c r="F159" s="13"/>
      <c r="G159" s="13"/>
      <c r="H159" s="13"/>
      <c r="I159" s="13"/>
      <c r="J159" s="13"/>
    </row>
    <row r="160" spans="2:10" ht="15.75" x14ac:dyDescent="0.25">
      <c r="B160" s="13"/>
      <c r="C160" s="13" t="str">
        <f>+D159</f>
        <v>-</v>
      </c>
      <c r="D160" s="164" t="s">
        <v>123</v>
      </c>
      <c r="E160" s="88">
        <v>0.47099999999999997</v>
      </c>
      <c r="F160" s="13"/>
      <c r="G160" s="13"/>
      <c r="H160" s="13"/>
      <c r="I160" s="13"/>
      <c r="J160" s="13"/>
    </row>
    <row r="161" spans="2:10" ht="15.75" x14ac:dyDescent="0.25">
      <c r="B161" s="13"/>
      <c r="C161" s="13" t="str">
        <f>+D160</f>
        <v>-</v>
      </c>
      <c r="D161" s="164" t="s">
        <v>123</v>
      </c>
      <c r="E161" s="88">
        <v>0.47099999999999997</v>
      </c>
      <c r="F161" s="13"/>
      <c r="G161" s="13"/>
      <c r="H161" s="13"/>
      <c r="I161" s="13"/>
      <c r="J161" s="13"/>
    </row>
    <row r="162" spans="2:10" ht="15.75" x14ac:dyDescent="0.25">
      <c r="B162" s="13"/>
      <c r="C162" s="13" t="str">
        <f>+D161</f>
        <v>-</v>
      </c>
      <c r="D162" s="164" t="s">
        <v>123</v>
      </c>
      <c r="E162" s="88">
        <v>0.47099999999999997</v>
      </c>
      <c r="F162" s="13"/>
      <c r="G162" s="13"/>
      <c r="H162" s="13"/>
      <c r="I162" s="13"/>
      <c r="J162" s="13"/>
    </row>
    <row r="163" spans="2:10" ht="15.75" x14ac:dyDescent="0.25">
      <c r="B163" s="13"/>
      <c r="C163" s="13" t="str">
        <f>+D162</f>
        <v>-</v>
      </c>
      <c r="D163" s="164" t="s">
        <v>123</v>
      </c>
      <c r="E163" s="88">
        <v>0.47099999999999997</v>
      </c>
      <c r="F163" s="13"/>
      <c r="G163" s="13"/>
      <c r="H163" s="13"/>
      <c r="I163" s="13"/>
      <c r="J163" s="13"/>
    </row>
    <row r="164" spans="2:10" x14ac:dyDescent="0.25">
      <c r="B164" s="13"/>
      <c r="C164" s="13"/>
      <c r="D164" s="13"/>
      <c r="E164" s="13"/>
      <c r="F164" s="13"/>
      <c r="G164" s="13"/>
      <c r="H164" s="13"/>
      <c r="I164" s="13"/>
      <c r="J164" s="13"/>
    </row>
  </sheetData>
  <sheetProtection algorithmName="SHA-512" hashValue="MmKdmEqDLTSn2T4aMUU5KadD9gWt+ryI5fKrn1M9YX13gA5iZQGIc5wBaTRE64GxeCYQKnr4jINdONH2Xn4QrQ==" saltValue="2p4rcR7CTuF1/OHnd7nfrw==" spinCount="100000" sheet="1" objects="1" scenarios="1" selectLockedCells="1"/>
  <mergeCells count="13">
    <mergeCell ref="E65:E66"/>
    <mergeCell ref="C68:D68"/>
    <mergeCell ref="E72:E73"/>
    <mergeCell ref="B4:J4"/>
    <mergeCell ref="B21:J21"/>
    <mergeCell ref="B23:E23"/>
    <mergeCell ref="C39:D39"/>
    <mergeCell ref="B53:E53"/>
    <mergeCell ref="B93:E93"/>
    <mergeCell ref="B77:E77"/>
    <mergeCell ref="D114:F114"/>
    <mergeCell ref="B111:J111"/>
    <mergeCell ref="B113:E113"/>
  </mergeCells>
  <dataValidations count="8">
    <dataValidation type="list" allowBlank="1" showInputMessage="1" showErrorMessage="1" sqref="E18" xr:uid="{00000000-0002-0000-0200-000000000000}">
      <formula1>"Sazonalidade acentuada,Sazonalidade média,Sazonalidade baixa"</formula1>
    </dataValidation>
    <dataValidation type="list" allowBlank="1" showInputMessage="1" showErrorMessage="1" sqref="E11" xr:uid="{00000000-0002-0000-0200-000001000000}">
      <formula1>"Alta &gt;180 mg/l,Média 180-60 mg/l,Baixa &lt;60 mg/l"</formula1>
    </dataValidation>
    <dataValidation type="list" allowBlank="1" showInputMessage="1" showErrorMessage="1" sqref="E15" xr:uid="{00000000-0002-0000-0200-000002000000}">
      <formula1>"Muito baixa &lt;1 bar,Normal 1-6 bar,Alta &gt;6 bar"</formula1>
    </dataValidation>
    <dataValidation type="list" allowBlank="1" showInputMessage="1" showErrorMessage="1" sqref="E48" xr:uid="{00000000-0002-0000-0200-000003000000}">
      <formula1>"Sem controlo de qualidade,Ensaios em contadores selecionados previamente pela empresa fornecedora,Ensaios em amostras de contadores escolhidas aleatoriamente pela entidade"</formula1>
    </dataValidation>
    <dataValidation type="list" allowBlank="1" showInputMessage="1" showErrorMessage="1" sqref="E13" xr:uid="{00000000-0002-0000-0200-000004000000}">
      <formula1>"Sim,Não"</formula1>
    </dataValidation>
    <dataValidation type="list" allowBlank="1" showInputMessage="1" showErrorMessage="1" sqref="I89 I105" xr:uid="{00000000-0002-0000-0200-000005000000}">
      <formula1>#REF!</formula1>
    </dataValidation>
    <dataValidation type="list" allowBlank="1" showInputMessage="1" showErrorMessage="1" sqref="E87 E103 E63 E6 E33" xr:uid="{00000000-0002-0000-0200-000006000000}">
      <formula1>"100%,90%,80%,70%,60%,50%,40%,30%,20%,10%,"</formula1>
    </dataValidation>
    <dataValidation type="list" allowBlank="1" showInputMessage="1" showErrorMessage="1" sqref="I103 E97:E98 I87 E81:E82 I33:I34 I70 E70 I72 E57:E58 E27:E28 I41 E41 I43 I63 I36 I65" xr:uid="{00000000-0002-0000-0200-000007000000}">
      <formula1>"100%,90%,80%,70%,60%,50%,40%,30%,20%,10%,0%"</formula1>
    </dataValidation>
  </dataValidations>
  <pageMargins left="0.25" right="0.25" top="0.75" bottom="0.75" header="0.3" footer="0.3"/>
  <pageSetup paperSize="9" scale="28" orientation="portrait" horizontalDpi="1200" verticalDpi="1200" r:id="rId1"/>
  <rowBreaks count="1" manualBreakCount="1">
    <brk id="76" max="9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2">
    <pageSetUpPr fitToPage="1"/>
  </sheetPr>
  <dimension ref="A2:W225"/>
  <sheetViews>
    <sheetView zoomScaleNormal="100" workbookViewId="0">
      <selection activeCell="E8" sqref="E8"/>
    </sheetView>
  </sheetViews>
  <sheetFormatPr defaultColWidth="8.85546875" defaultRowHeight="15" x14ac:dyDescent="0.25"/>
  <cols>
    <col min="1" max="3" width="8.85546875" style="152"/>
    <col min="4" max="4" width="12.7109375" style="152" customWidth="1"/>
    <col min="5" max="5" width="16" style="152" customWidth="1"/>
    <col min="6" max="11" width="12.7109375" style="152" customWidth="1"/>
    <col min="12" max="12" width="8.85546875" style="152"/>
    <col min="13" max="20" width="12.7109375" style="152" customWidth="1"/>
    <col min="21" max="16384" width="8.85546875" style="152"/>
  </cols>
  <sheetData>
    <row r="2" spans="2:22" ht="21" x14ac:dyDescent="0.3">
      <c r="B2" s="240" t="s">
        <v>0</v>
      </c>
      <c r="C2" s="240"/>
      <c r="D2" s="240"/>
      <c r="E2" s="240"/>
      <c r="F2" s="240"/>
      <c r="G2" s="240"/>
      <c r="H2" s="240"/>
      <c r="I2" s="240"/>
      <c r="J2" s="240"/>
    </row>
    <row r="4" spans="2:22" ht="15.6" x14ac:dyDescent="0.3">
      <c r="B4" s="239" t="s">
        <v>13</v>
      </c>
      <c r="C4" s="239"/>
      <c r="D4" s="239"/>
      <c r="E4" s="239"/>
      <c r="F4" s="239"/>
      <c r="G4" s="239"/>
      <c r="H4" s="239"/>
      <c r="I4" s="239"/>
      <c r="J4" s="239"/>
    </row>
    <row r="6" spans="2:22" x14ac:dyDescent="0.25">
      <c r="E6" s="238" t="s">
        <v>152</v>
      </c>
      <c r="F6" s="238"/>
      <c r="G6" s="238"/>
      <c r="H6" s="238"/>
      <c r="I6" s="238"/>
      <c r="J6" s="238"/>
    </row>
    <row r="7" spans="2:22" thickBot="1" x14ac:dyDescent="0.35">
      <c r="E7" s="153" t="s">
        <v>1</v>
      </c>
      <c r="F7" s="154" t="s">
        <v>2</v>
      </c>
      <c r="G7" s="154" t="s">
        <v>3</v>
      </c>
      <c r="H7" s="154" t="s">
        <v>4</v>
      </c>
      <c r="I7" s="154" t="s">
        <v>5</v>
      </c>
      <c r="J7" s="154" t="s">
        <v>6</v>
      </c>
    </row>
    <row r="8" spans="2:22" x14ac:dyDescent="0.25">
      <c r="C8" s="237" t="s">
        <v>12</v>
      </c>
      <c r="D8" s="153" t="s">
        <v>1</v>
      </c>
      <c r="E8" s="130">
        <v>90.045000000000002</v>
      </c>
      <c r="F8" s="131">
        <v>264.68299999999994</v>
      </c>
      <c r="G8" s="131">
        <v>49.121000000000002</v>
      </c>
      <c r="H8" s="131">
        <v>90</v>
      </c>
      <c r="I8" s="131">
        <v>159.97499999999999</v>
      </c>
      <c r="J8" s="132"/>
    </row>
    <row r="9" spans="2:22" x14ac:dyDescent="0.25">
      <c r="C9" s="237"/>
      <c r="D9" s="154" t="s">
        <v>7</v>
      </c>
      <c r="E9" s="133">
        <v>303.62299999999999</v>
      </c>
      <c r="F9" s="134">
        <v>1436.097</v>
      </c>
      <c r="G9" s="134">
        <v>696.13099999999997</v>
      </c>
      <c r="H9" s="134">
        <v>319.24900000000002</v>
      </c>
      <c r="I9" s="134"/>
      <c r="J9" s="135"/>
    </row>
    <row r="10" spans="2:22" x14ac:dyDescent="0.25">
      <c r="C10" s="237"/>
      <c r="D10" s="154" t="s">
        <v>8</v>
      </c>
      <c r="E10" s="133">
        <v>208.71799999999999</v>
      </c>
      <c r="F10" s="134">
        <v>858.07899999999995</v>
      </c>
      <c r="G10" s="134">
        <v>329.33299999999997</v>
      </c>
      <c r="H10" s="134">
        <v>60.084000000000003</v>
      </c>
      <c r="I10" s="134">
        <v>36.667000000000002</v>
      </c>
      <c r="J10" s="135"/>
    </row>
    <row r="11" spans="2:22" x14ac:dyDescent="0.25">
      <c r="C11" s="237"/>
      <c r="D11" s="154" t="s">
        <v>9</v>
      </c>
      <c r="E11" s="133">
        <v>66.048000000000002</v>
      </c>
      <c r="F11" s="134">
        <v>212.833</v>
      </c>
      <c r="G11" s="134">
        <v>71</v>
      </c>
      <c r="H11" s="134">
        <v>27.167000000000002</v>
      </c>
      <c r="I11" s="134">
        <v>42.332999999999998</v>
      </c>
      <c r="J11" s="135">
        <v>64.75</v>
      </c>
    </row>
    <row r="12" spans="2:22" x14ac:dyDescent="0.25">
      <c r="C12" s="237"/>
      <c r="D12" s="154" t="s">
        <v>10</v>
      </c>
      <c r="E12" s="133">
        <v>9.4169999999999998</v>
      </c>
      <c r="F12" s="134">
        <v>46.832999999999998</v>
      </c>
      <c r="G12" s="134"/>
      <c r="H12" s="134"/>
      <c r="I12" s="134"/>
      <c r="J12" s="135"/>
    </row>
    <row r="13" spans="2:22" ht="15.75" thickBot="1" x14ac:dyDescent="0.3">
      <c r="C13" s="237"/>
      <c r="D13" s="154" t="s">
        <v>11</v>
      </c>
      <c r="E13" s="136">
        <v>1.571</v>
      </c>
      <c r="F13" s="137">
        <v>5.5830000000000002</v>
      </c>
      <c r="G13" s="137"/>
      <c r="H13" s="137"/>
      <c r="I13" s="137"/>
      <c r="J13" s="138"/>
    </row>
    <row r="16" spans="2:22" ht="14.45" x14ac:dyDescent="0.3">
      <c r="M16" s="155"/>
      <c r="N16" s="155"/>
      <c r="V16" s="156"/>
    </row>
    <row r="17" spans="2:23" ht="14.45" x14ac:dyDescent="0.3">
      <c r="E17" s="238" t="s">
        <v>14</v>
      </c>
      <c r="F17" s="238"/>
      <c r="G17" s="238"/>
      <c r="H17" s="238"/>
      <c r="I17" s="238"/>
      <c r="J17" s="238"/>
      <c r="N17" s="238" t="s">
        <v>153</v>
      </c>
      <c r="O17" s="238"/>
      <c r="P17" s="238"/>
      <c r="Q17" s="238"/>
      <c r="R17" s="238"/>
      <c r="S17" s="238"/>
      <c r="V17" s="157"/>
    </row>
    <row r="18" spans="2:23" ht="15.75" thickBot="1" x14ac:dyDescent="0.3">
      <c r="E18" s="153" t="s">
        <v>1</v>
      </c>
      <c r="F18" s="154" t="s">
        <v>2</v>
      </c>
      <c r="G18" s="154" t="s">
        <v>3</v>
      </c>
      <c r="H18" s="154" t="s">
        <v>4</v>
      </c>
      <c r="I18" s="154" t="s">
        <v>5</v>
      </c>
      <c r="J18" s="154" t="s">
        <v>6</v>
      </c>
      <c r="K18" s="198" t="s">
        <v>175</v>
      </c>
      <c r="M18" s="152" t="s">
        <v>12</v>
      </c>
      <c r="N18" s="153" t="s">
        <v>1</v>
      </c>
      <c r="O18" s="154" t="s">
        <v>7</v>
      </c>
      <c r="P18" s="154" t="s">
        <v>8</v>
      </c>
      <c r="Q18" s="154" t="s">
        <v>9</v>
      </c>
      <c r="R18" s="154" t="s">
        <v>10</v>
      </c>
      <c r="S18" s="154" t="s">
        <v>11</v>
      </c>
    </row>
    <row r="19" spans="2:23" ht="15.75" thickBot="1" x14ac:dyDescent="0.3">
      <c r="C19" s="237" t="s">
        <v>12</v>
      </c>
      <c r="D19" s="153" t="s">
        <v>1</v>
      </c>
      <c r="E19" s="118">
        <v>57</v>
      </c>
      <c r="F19" s="120">
        <v>29</v>
      </c>
      <c r="G19" s="120">
        <v>3</v>
      </c>
      <c r="H19" s="120">
        <v>3</v>
      </c>
      <c r="I19" s="120">
        <v>4</v>
      </c>
      <c r="J19" s="121"/>
      <c r="K19" s="199">
        <v>-4.2499999999999996E-2</v>
      </c>
      <c r="M19" s="158"/>
      <c r="N19" s="139"/>
      <c r="O19" s="140"/>
      <c r="P19" s="140"/>
      <c r="Q19" s="140"/>
      <c r="R19" s="140"/>
      <c r="S19" s="141"/>
      <c r="V19" s="159"/>
      <c r="W19" s="160"/>
    </row>
    <row r="20" spans="2:23" x14ac:dyDescent="0.25">
      <c r="C20" s="237"/>
      <c r="D20" s="154" t="s">
        <v>7</v>
      </c>
      <c r="E20" s="126">
        <v>169</v>
      </c>
      <c r="F20" s="124">
        <v>161</v>
      </c>
      <c r="G20" s="124">
        <v>38</v>
      </c>
      <c r="H20" s="124">
        <v>11</v>
      </c>
      <c r="I20" s="124"/>
      <c r="J20" s="125"/>
      <c r="K20" s="199">
        <v>-6.7500000000000004E-2</v>
      </c>
      <c r="M20" s="155"/>
      <c r="N20" s="161"/>
      <c r="O20" s="161"/>
      <c r="P20" s="161"/>
      <c r="Q20" s="161"/>
      <c r="R20" s="161"/>
      <c r="S20" s="161"/>
      <c r="V20" s="159"/>
      <c r="W20" s="160"/>
    </row>
    <row r="21" spans="2:23" x14ac:dyDescent="0.25">
      <c r="C21" s="237"/>
      <c r="D21" s="154" t="s">
        <v>8</v>
      </c>
      <c r="E21" s="143">
        <v>95</v>
      </c>
      <c r="F21" s="124">
        <v>96</v>
      </c>
      <c r="G21" s="124">
        <v>17</v>
      </c>
      <c r="H21" s="124">
        <v>2</v>
      </c>
      <c r="I21" s="124">
        <v>1</v>
      </c>
      <c r="J21" s="125"/>
      <c r="K21" s="199">
        <v>-9.2499999999999999E-2</v>
      </c>
      <c r="M21" s="155"/>
      <c r="N21" s="161"/>
      <c r="O21" s="161"/>
      <c r="P21" s="161"/>
      <c r="Q21" s="161"/>
      <c r="R21" s="161"/>
      <c r="S21" s="161"/>
      <c r="V21" s="159"/>
      <c r="W21" s="160"/>
    </row>
    <row r="22" spans="2:23" x14ac:dyDescent="0.25">
      <c r="C22" s="237"/>
      <c r="D22" s="154" t="s">
        <v>9</v>
      </c>
      <c r="E22" s="143">
        <v>36</v>
      </c>
      <c r="F22" s="124">
        <v>24</v>
      </c>
      <c r="G22" s="124">
        <v>4</v>
      </c>
      <c r="H22" s="124">
        <v>1</v>
      </c>
      <c r="I22" s="124">
        <v>1</v>
      </c>
      <c r="J22" s="125">
        <v>1</v>
      </c>
      <c r="K22" s="199">
        <v>-0.11750000000000001</v>
      </c>
      <c r="M22" s="155"/>
      <c r="N22" s="161"/>
      <c r="O22" s="161"/>
      <c r="P22" s="161"/>
      <c r="Q22" s="161"/>
      <c r="R22" s="161"/>
      <c r="S22" s="161"/>
      <c r="V22" s="159"/>
      <c r="W22" s="160"/>
    </row>
    <row r="23" spans="2:23" x14ac:dyDescent="0.25">
      <c r="C23" s="237"/>
      <c r="D23" s="154" t="s">
        <v>10</v>
      </c>
      <c r="E23" s="143">
        <v>6</v>
      </c>
      <c r="F23" s="124">
        <v>5</v>
      </c>
      <c r="G23" s="124"/>
      <c r="H23" s="124"/>
      <c r="I23" s="124"/>
      <c r="J23" s="125"/>
      <c r="K23" s="199">
        <v>-0.14250000000000002</v>
      </c>
      <c r="M23" s="155"/>
      <c r="N23" s="161"/>
      <c r="O23" s="161"/>
      <c r="P23" s="161"/>
      <c r="Q23" s="161"/>
      <c r="R23" s="161"/>
      <c r="S23" s="161"/>
      <c r="V23" s="159"/>
      <c r="W23" s="160"/>
    </row>
    <row r="24" spans="2:23" ht="15.75" thickBot="1" x14ac:dyDescent="0.3">
      <c r="C24" s="237"/>
      <c r="D24" s="154" t="s">
        <v>11</v>
      </c>
      <c r="E24" s="127">
        <v>4</v>
      </c>
      <c r="F24" s="128">
        <v>1</v>
      </c>
      <c r="G24" s="128"/>
      <c r="H24" s="128"/>
      <c r="I24" s="128"/>
      <c r="J24" s="129"/>
      <c r="K24" s="199">
        <v>-0.18625</v>
      </c>
      <c r="M24" s="155"/>
      <c r="N24" s="161"/>
      <c r="O24" s="161"/>
      <c r="P24" s="161"/>
      <c r="Q24" s="161"/>
      <c r="R24" s="161"/>
      <c r="S24" s="161"/>
      <c r="V24" s="159"/>
      <c r="W24" s="160"/>
    </row>
    <row r="25" spans="2:23" x14ac:dyDescent="0.25">
      <c r="D25" s="194" t="s">
        <v>173</v>
      </c>
      <c r="E25" s="195">
        <v>5.4</v>
      </c>
      <c r="F25" s="195">
        <v>2.6</v>
      </c>
      <c r="G25" s="195">
        <v>1.6</v>
      </c>
      <c r="H25" s="195">
        <v>1.2</v>
      </c>
      <c r="I25" s="195">
        <v>1</v>
      </c>
      <c r="J25" s="195">
        <v>0.8</v>
      </c>
    </row>
    <row r="26" spans="2:23" x14ac:dyDescent="0.25">
      <c r="W26" s="159"/>
    </row>
    <row r="29" spans="2:23" ht="15.75" x14ac:dyDescent="0.25">
      <c r="B29" s="239" t="s">
        <v>16</v>
      </c>
      <c r="C29" s="239"/>
      <c r="D29" s="239"/>
      <c r="E29" s="239"/>
      <c r="F29" s="239"/>
      <c r="G29" s="239"/>
      <c r="H29" s="239"/>
      <c r="I29" s="239"/>
      <c r="J29" s="239"/>
    </row>
    <row r="31" spans="2:23" x14ac:dyDescent="0.25">
      <c r="E31" s="238" t="s">
        <v>152</v>
      </c>
      <c r="F31" s="238"/>
      <c r="G31" s="238"/>
      <c r="H31" s="238"/>
      <c r="I31" s="238"/>
      <c r="J31" s="238"/>
    </row>
    <row r="32" spans="2:23" ht="15.75" thickBot="1" x14ac:dyDescent="0.3">
      <c r="E32" s="153" t="s">
        <v>20</v>
      </c>
      <c r="F32" s="154" t="s">
        <v>21</v>
      </c>
      <c r="G32" s="154" t="s">
        <v>22</v>
      </c>
      <c r="H32" s="154" t="s">
        <v>23</v>
      </c>
      <c r="I32" s="154" t="s">
        <v>24</v>
      </c>
      <c r="J32" s="154" t="s">
        <v>25</v>
      </c>
    </row>
    <row r="33" spans="3:19" x14ac:dyDescent="0.25">
      <c r="C33" s="237" t="s">
        <v>12</v>
      </c>
      <c r="D33" s="153" t="s">
        <v>1</v>
      </c>
      <c r="E33" s="130"/>
      <c r="F33" s="131"/>
      <c r="G33" s="131"/>
      <c r="H33" s="131"/>
      <c r="I33" s="131"/>
      <c r="J33" s="132"/>
    </row>
    <row r="34" spans="3:19" x14ac:dyDescent="0.25">
      <c r="C34" s="237"/>
      <c r="D34" s="154" t="s">
        <v>7</v>
      </c>
      <c r="E34" s="133"/>
      <c r="F34" s="134"/>
      <c r="G34" s="134"/>
      <c r="H34" s="134"/>
      <c r="I34" s="134"/>
      <c r="J34" s="135"/>
    </row>
    <row r="35" spans="3:19" x14ac:dyDescent="0.25">
      <c r="C35" s="237"/>
      <c r="D35" s="154" t="s">
        <v>8</v>
      </c>
      <c r="E35" s="133"/>
      <c r="F35" s="134"/>
      <c r="G35" s="134"/>
      <c r="H35" s="134"/>
      <c r="I35" s="134"/>
      <c r="J35" s="135"/>
    </row>
    <row r="36" spans="3:19" x14ac:dyDescent="0.25">
      <c r="C36" s="237"/>
      <c r="D36" s="154" t="s">
        <v>9</v>
      </c>
      <c r="E36" s="133"/>
      <c r="F36" s="134"/>
      <c r="G36" s="134"/>
      <c r="H36" s="134"/>
      <c r="I36" s="134"/>
      <c r="J36" s="135"/>
    </row>
    <row r="37" spans="3:19" x14ac:dyDescent="0.25">
      <c r="C37" s="237"/>
      <c r="D37" s="154" t="s">
        <v>10</v>
      </c>
      <c r="E37" s="133"/>
      <c r="F37" s="134"/>
      <c r="G37" s="134"/>
      <c r="H37" s="134"/>
      <c r="I37" s="134"/>
      <c r="J37" s="135"/>
    </row>
    <row r="38" spans="3:19" ht="15.75" thickBot="1" x14ac:dyDescent="0.3">
      <c r="C38" s="237"/>
      <c r="D38" s="154" t="s">
        <v>11</v>
      </c>
      <c r="E38" s="136"/>
      <c r="F38" s="137"/>
      <c r="G38" s="137"/>
      <c r="H38" s="137"/>
      <c r="I38" s="137"/>
      <c r="J38" s="138"/>
    </row>
    <row r="42" spans="3:19" x14ac:dyDescent="0.25">
      <c r="E42" s="238" t="s">
        <v>14</v>
      </c>
      <c r="F42" s="238"/>
      <c r="G42" s="238"/>
      <c r="H42" s="238"/>
      <c r="I42" s="238"/>
      <c r="J42" s="238"/>
      <c r="N42" s="238" t="s">
        <v>153</v>
      </c>
      <c r="O42" s="238"/>
      <c r="P42" s="238"/>
      <c r="Q42" s="238"/>
      <c r="R42" s="238"/>
      <c r="S42" s="238"/>
    </row>
    <row r="43" spans="3:19" ht="15.75" thickBot="1" x14ac:dyDescent="0.3">
      <c r="E43" s="153" t="s">
        <v>20</v>
      </c>
      <c r="F43" s="154" t="s">
        <v>21</v>
      </c>
      <c r="G43" s="154" t="s">
        <v>22</v>
      </c>
      <c r="H43" s="154" t="s">
        <v>23</v>
      </c>
      <c r="I43" s="154" t="s">
        <v>24</v>
      </c>
      <c r="J43" s="154" t="s">
        <v>25</v>
      </c>
      <c r="K43" s="198" t="s">
        <v>175</v>
      </c>
      <c r="M43" s="152" t="s">
        <v>12</v>
      </c>
      <c r="N43" s="153" t="s">
        <v>1</v>
      </c>
      <c r="O43" s="154" t="s">
        <v>7</v>
      </c>
      <c r="P43" s="154" t="s">
        <v>8</v>
      </c>
      <c r="Q43" s="154" t="s">
        <v>9</v>
      </c>
      <c r="R43" s="154" t="s">
        <v>10</v>
      </c>
      <c r="S43" s="154" t="s">
        <v>11</v>
      </c>
    </row>
    <row r="44" spans="3:19" ht="15.75" thickBot="1" x14ac:dyDescent="0.3">
      <c r="C44" s="237" t="s">
        <v>12</v>
      </c>
      <c r="D44" s="153" t="s">
        <v>1</v>
      </c>
      <c r="E44" s="118"/>
      <c r="F44" s="120"/>
      <c r="G44" s="120"/>
      <c r="H44" s="120"/>
      <c r="I44" s="120"/>
      <c r="J44" s="121"/>
      <c r="K44" s="199">
        <v>-4.2499999999999996E-2</v>
      </c>
      <c r="M44" s="158"/>
      <c r="N44" s="139"/>
      <c r="O44" s="140"/>
      <c r="P44" s="140"/>
      <c r="Q44" s="140"/>
      <c r="R44" s="140"/>
      <c r="S44" s="141"/>
    </row>
    <row r="45" spans="3:19" x14ac:dyDescent="0.25">
      <c r="C45" s="237"/>
      <c r="D45" s="154" t="s">
        <v>7</v>
      </c>
      <c r="E45" s="126"/>
      <c r="F45" s="124"/>
      <c r="G45" s="124"/>
      <c r="H45" s="124"/>
      <c r="I45" s="124"/>
      <c r="J45" s="125"/>
      <c r="K45" s="199">
        <v>-6.7500000000000004E-2</v>
      </c>
      <c r="M45" s="155"/>
      <c r="N45" s="161"/>
      <c r="O45" s="161"/>
      <c r="P45" s="161"/>
      <c r="Q45" s="161"/>
      <c r="R45" s="161"/>
      <c r="S45" s="161"/>
    </row>
    <row r="46" spans="3:19" x14ac:dyDescent="0.25">
      <c r="C46" s="237"/>
      <c r="D46" s="154" t="s">
        <v>8</v>
      </c>
      <c r="E46" s="143"/>
      <c r="F46" s="124"/>
      <c r="G46" s="124"/>
      <c r="H46" s="124"/>
      <c r="I46" s="124"/>
      <c r="J46" s="125"/>
      <c r="K46" s="199">
        <v>-9.2499999999999999E-2</v>
      </c>
      <c r="M46" s="155"/>
      <c r="N46" s="161"/>
      <c r="O46" s="161"/>
      <c r="P46" s="161"/>
      <c r="Q46" s="161"/>
      <c r="R46" s="161"/>
      <c r="S46" s="161"/>
    </row>
    <row r="47" spans="3:19" x14ac:dyDescent="0.25">
      <c r="C47" s="237"/>
      <c r="D47" s="154" t="s">
        <v>9</v>
      </c>
      <c r="E47" s="143"/>
      <c r="F47" s="124"/>
      <c r="G47" s="124"/>
      <c r="H47" s="124"/>
      <c r="I47" s="124"/>
      <c r="J47" s="125"/>
      <c r="K47" s="199">
        <v>-0.11750000000000001</v>
      </c>
      <c r="M47" s="155"/>
      <c r="N47" s="161"/>
      <c r="O47" s="161"/>
      <c r="P47" s="161"/>
      <c r="Q47" s="161"/>
      <c r="R47" s="161"/>
      <c r="S47" s="161"/>
    </row>
    <row r="48" spans="3:19" x14ac:dyDescent="0.25">
      <c r="C48" s="237"/>
      <c r="D48" s="154" t="s">
        <v>10</v>
      </c>
      <c r="E48" s="143"/>
      <c r="F48" s="124"/>
      <c r="G48" s="124"/>
      <c r="H48" s="124"/>
      <c r="I48" s="124"/>
      <c r="J48" s="125"/>
      <c r="K48" s="199">
        <v>-0.14250000000000002</v>
      </c>
      <c r="M48" s="155"/>
      <c r="N48" s="161"/>
      <c r="O48" s="161"/>
      <c r="P48" s="161"/>
      <c r="Q48" s="161"/>
      <c r="R48" s="161"/>
      <c r="S48" s="161"/>
    </row>
    <row r="49" spans="2:19" ht="15.75" thickBot="1" x14ac:dyDescent="0.3">
      <c r="C49" s="237"/>
      <c r="D49" s="154" t="s">
        <v>11</v>
      </c>
      <c r="E49" s="127"/>
      <c r="F49" s="128"/>
      <c r="G49" s="128"/>
      <c r="H49" s="128"/>
      <c r="I49" s="128"/>
      <c r="J49" s="129"/>
      <c r="K49" s="199">
        <v>-0.18625</v>
      </c>
      <c r="M49" s="155"/>
      <c r="N49" s="161"/>
      <c r="O49" s="161"/>
      <c r="P49" s="161"/>
      <c r="Q49" s="161"/>
      <c r="R49" s="161"/>
      <c r="S49" s="161"/>
    </row>
    <row r="50" spans="2:19" x14ac:dyDescent="0.25">
      <c r="D50" s="194" t="s">
        <v>173</v>
      </c>
      <c r="E50" s="195">
        <v>7.6</v>
      </c>
      <c r="F50" s="195">
        <v>3.5</v>
      </c>
      <c r="G50" s="195">
        <v>2.7</v>
      </c>
      <c r="H50" s="195">
        <v>2.2999999999999998</v>
      </c>
      <c r="I50" s="195">
        <v>2</v>
      </c>
      <c r="J50" s="195">
        <v>1.7</v>
      </c>
    </row>
    <row r="54" spans="2:19" ht="15.75" x14ac:dyDescent="0.25">
      <c r="B54" s="239" t="s">
        <v>17</v>
      </c>
      <c r="C54" s="239"/>
      <c r="D54" s="239"/>
      <c r="E54" s="239"/>
      <c r="F54" s="239"/>
      <c r="G54" s="239"/>
      <c r="H54" s="239"/>
      <c r="I54" s="239"/>
      <c r="J54" s="239"/>
    </row>
    <row r="56" spans="2:19" x14ac:dyDescent="0.25">
      <c r="E56" s="238" t="s">
        <v>152</v>
      </c>
      <c r="F56" s="238"/>
      <c r="G56" s="238"/>
      <c r="H56" s="238"/>
      <c r="I56" s="238"/>
      <c r="J56" s="238"/>
    </row>
    <row r="57" spans="2:19" ht="15.75" thickBot="1" x14ac:dyDescent="0.3">
      <c r="E57" s="153" t="s">
        <v>26</v>
      </c>
      <c r="F57" s="154" t="s">
        <v>27</v>
      </c>
      <c r="G57" s="154" t="s">
        <v>28</v>
      </c>
      <c r="H57" s="154" t="s">
        <v>29</v>
      </c>
      <c r="I57" s="154" t="s">
        <v>30</v>
      </c>
      <c r="J57" s="154" t="s">
        <v>31</v>
      </c>
    </row>
    <row r="58" spans="2:19" x14ac:dyDescent="0.25">
      <c r="C58" s="237" t="s">
        <v>12</v>
      </c>
      <c r="D58" s="153" t="s">
        <v>1</v>
      </c>
      <c r="E58" s="130"/>
      <c r="F58" s="131"/>
      <c r="G58" s="131"/>
      <c r="H58" s="131"/>
      <c r="I58" s="131"/>
      <c r="J58" s="132"/>
    </row>
    <row r="59" spans="2:19" x14ac:dyDescent="0.25">
      <c r="C59" s="237"/>
      <c r="D59" s="154" t="s">
        <v>7</v>
      </c>
      <c r="E59" s="133"/>
      <c r="F59" s="134"/>
      <c r="G59" s="134"/>
      <c r="H59" s="134"/>
      <c r="I59" s="134"/>
      <c r="J59" s="135"/>
    </row>
    <row r="60" spans="2:19" x14ac:dyDescent="0.25">
      <c r="C60" s="237"/>
      <c r="D60" s="154" t="s">
        <v>8</v>
      </c>
      <c r="E60" s="133"/>
      <c r="F60" s="134"/>
      <c r="G60" s="134"/>
      <c r="H60" s="134"/>
      <c r="I60" s="134"/>
      <c r="J60" s="135"/>
    </row>
    <row r="61" spans="2:19" x14ac:dyDescent="0.25">
      <c r="C61" s="237"/>
      <c r="D61" s="154" t="s">
        <v>9</v>
      </c>
      <c r="E61" s="133"/>
      <c r="F61" s="134"/>
      <c r="G61" s="134"/>
      <c r="H61" s="134"/>
      <c r="I61" s="134"/>
      <c r="J61" s="135"/>
    </row>
    <row r="62" spans="2:19" x14ac:dyDescent="0.25">
      <c r="C62" s="237"/>
      <c r="D62" s="154" t="s">
        <v>10</v>
      </c>
      <c r="E62" s="133"/>
      <c r="F62" s="134"/>
      <c r="G62" s="134"/>
      <c r="H62" s="134"/>
      <c r="I62" s="134"/>
      <c r="J62" s="135"/>
    </row>
    <row r="63" spans="2:19" ht="15.75" thickBot="1" x14ac:dyDescent="0.3">
      <c r="C63" s="237"/>
      <c r="D63" s="154" t="s">
        <v>11</v>
      </c>
      <c r="E63" s="136"/>
      <c r="F63" s="137"/>
      <c r="G63" s="137"/>
      <c r="H63" s="137"/>
      <c r="I63" s="137"/>
      <c r="J63" s="138"/>
    </row>
    <row r="67" spans="2:11" x14ac:dyDescent="0.25">
      <c r="E67" s="238" t="s">
        <v>14</v>
      </c>
      <c r="F67" s="238"/>
      <c r="G67" s="238"/>
      <c r="H67" s="238"/>
      <c r="I67" s="238"/>
      <c r="J67" s="238"/>
    </row>
    <row r="68" spans="2:11" ht="15.75" thickBot="1" x14ac:dyDescent="0.3">
      <c r="E68" s="153" t="s">
        <v>26</v>
      </c>
      <c r="F68" s="154" t="s">
        <v>27</v>
      </c>
      <c r="G68" s="154" t="s">
        <v>28</v>
      </c>
      <c r="H68" s="154" t="s">
        <v>29</v>
      </c>
      <c r="I68" s="154" t="s">
        <v>30</v>
      </c>
      <c r="J68" s="154" t="s">
        <v>31</v>
      </c>
      <c r="K68" s="198" t="s">
        <v>175</v>
      </c>
    </row>
    <row r="69" spans="2:11" x14ac:dyDescent="0.25">
      <c r="C69" s="237" t="s">
        <v>12</v>
      </c>
      <c r="D69" s="153" t="s">
        <v>1</v>
      </c>
      <c r="E69" s="118"/>
      <c r="F69" s="119"/>
      <c r="G69" s="120"/>
      <c r="H69" s="120"/>
      <c r="I69" s="120"/>
      <c r="J69" s="121"/>
      <c r="K69" s="199">
        <v>-2.2499999999999999E-2</v>
      </c>
    </row>
    <row r="70" spans="2:11" x14ac:dyDescent="0.25">
      <c r="C70" s="237"/>
      <c r="D70" s="154" t="s">
        <v>7</v>
      </c>
      <c r="E70" s="122"/>
      <c r="F70" s="123"/>
      <c r="G70" s="124"/>
      <c r="H70" s="124"/>
      <c r="I70" s="124"/>
      <c r="J70" s="125"/>
      <c r="K70" s="199">
        <v>-4.7500000000000001E-2</v>
      </c>
    </row>
    <row r="71" spans="2:11" x14ac:dyDescent="0.25">
      <c r="C71" s="237"/>
      <c r="D71" s="154" t="s">
        <v>8</v>
      </c>
      <c r="E71" s="126"/>
      <c r="F71" s="124"/>
      <c r="G71" s="124"/>
      <c r="H71" s="124"/>
      <c r="I71" s="124"/>
      <c r="J71" s="125"/>
      <c r="K71" s="199">
        <v>-7.2499999999999995E-2</v>
      </c>
    </row>
    <row r="72" spans="2:11" x14ac:dyDescent="0.25">
      <c r="C72" s="237"/>
      <c r="D72" s="154" t="s">
        <v>9</v>
      </c>
      <c r="E72" s="143"/>
      <c r="F72" s="124"/>
      <c r="G72" s="124"/>
      <c r="H72" s="124"/>
      <c r="I72" s="124"/>
      <c r="J72" s="125"/>
      <c r="K72" s="199">
        <v>-9.7500000000000003E-2</v>
      </c>
    </row>
    <row r="73" spans="2:11" x14ac:dyDescent="0.25">
      <c r="C73" s="237"/>
      <c r="D73" s="154" t="s">
        <v>10</v>
      </c>
      <c r="E73" s="143"/>
      <c r="F73" s="124"/>
      <c r="G73" s="124"/>
      <c r="H73" s="124"/>
      <c r="I73" s="124"/>
      <c r="J73" s="125"/>
      <c r="K73" s="199">
        <v>-0.1225</v>
      </c>
    </row>
    <row r="74" spans="2:11" ht="15.75" thickBot="1" x14ac:dyDescent="0.3">
      <c r="C74" s="237"/>
      <c r="D74" s="154" t="s">
        <v>11</v>
      </c>
      <c r="E74" s="127"/>
      <c r="F74" s="128"/>
      <c r="G74" s="128"/>
      <c r="H74" s="128"/>
      <c r="I74" s="128"/>
      <c r="J74" s="129"/>
      <c r="K74" s="199">
        <v>-0.16625000000000001</v>
      </c>
    </row>
    <row r="75" spans="2:11" x14ac:dyDescent="0.25">
      <c r="D75" s="194" t="s">
        <v>173</v>
      </c>
      <c r="E75" s="195">
        <v>12.4</v>
      </c>
      <c r="F75" s="195">
        <v>5.8</v>
      </c>
      <c r="G75" s="195">
        <v>4.5</v>
      </c>
      <c r="H75" s="195">
        <v>3.8</v>
      </c>
      <c r="I75" s="195">
        <v>3.4</v>
      </c>
      <c r="J75" s="195">
        <v>2.9</v>
      </c>
    </row>
    <row r="79" spans="2:11" ht="15.75" x14ac:dyDescent="0.25">
      <c r="B79" s="239" t="s">
        <v>18</v>
      </c>
      <c r="C79" s="239"/>
      <c r="D79" s="239"/>
      <c r="E79" s="239"/>
      <c r="F79" s="239"/>
      <c r="G79" s="239"/>
      <c r="H79" s="239"/>
      <c r="I79" s="239"/>
      <c r="J79" s="239"/>
    </row>
    <row r="81" spans="3:11" x14ac:dyDescent="0.25">
      <c r="E81" s="238" t="s">
        <v>152</v>
      </c>
      <c r="F81" s="238"/>
      <c r="G81" s="238"/>
      <c r="H81" s="238"/>
      <c r="I81" s="238"/>
      <c r="J81" s="238"/>
    </row>
    <row r="82" spans="3:11" ht="15.75" thickBot="1" x14ac:dyDescent="0.3">
      <c r="E82" s="153" t="s">
        <v>32</v>
      </c>
      <c r="F82" s="154" t="s">
        <v>33</v>
      </c>
      <c r="G82" s="154" t="s">
        <v>34</v>
      </c>
      <c r="H82" s="154" t="s">
        <v>35</v>
      </c>
      <c r="I82" s="154" t="s">
        <v>36</v>
      </c>
      <c r="J82" s="154" t="s">
        <v>37</v>
      </c>
    </row>
    <row r="83" spans="3:11" x14ac:dyDescent="0.25">
      <c r="C83" s="237" t="s">
        <v>12</v>
      </c>
      <c r="D83" s="153" t="s">
        <v>1</v>
      </c>
      <c r="E83" s="130"/>
      <c r="F83" s="131"/>
      <c r="G83" s="131"/>
      <c r="H83" s="131"/>
      <c r="I83" s="131"/>
      <c r="J83" s="132"/>
    </row>
    <row r="84" spans="3:11" x14ac:dyDescent="0.25">
      <c r="C84" s="237"/>
      <c r="D84" s="154" t="s">
        <v>7</v>
      </c>
      <c r="E84" s="133"/>
      <c r="F84" s="134"/>
      <c r="G84" s="134"/>
      <c r="H84" s="134"/>
      <c r="I84" s="134"/>
      <c r="J84" s="135"/>
    </row>
    <row r="85" spans="3:11" x14ac:dyDescent="0.25">
      <c r="C85" s="237"/>
      <c r="D85" s="154" t="s">
        <v>8</v>
      </c>
      <c r="E85" s="133"/>
      <c r="F85" s="134"/>
      <c r="G85" s="134"/>
      <c r="H85" s="134"/>
      <c r="I85" s="134"/>
      <c r="J85" s="135"/>
    </row>
    <row r="86" spans="3:11" x14ac:dyDescent="0.25">
      <c r="C86" s="237"/>
      <c r="D86" s="154" t="s">
        <v>9</v>
      </c>
      <c r="E86" s="133"/>
      <c r="F86" s="134"/>
      <c r="G86" s="134"/>
      <c r="H86" s="134"/>
      <c r="I86" s="134"/>
      <c r="J86" s="135"/>
    </row>
    <row r="87" spans="3:11" x14ac:dyDescent="0.25">
      <c r="C87" s="237"/>
      <c r="D87" s="154" t="s">
        <v>10</v>
      </c>
      <c r="E87" s="133"/>
      <c r="F87" s="134"/>
      <c r="G87" s="134"/>
      <c r="H87" s="134"/>
      <c r="I87" s="134"/>
      <c r="J87" s="135"/>
    </row>
    <row r="88" spans="3:11" ht="15.75" thickBot="1" x14ac:dyDescent="0.3">
      <c r="C88" s="237"/>
      <c r="D88" s="154" t="s">
        <v>11</v>
      </c>
      <c r="E88" s="136"/>
      <c r="F88" s="137"/>
      <c r="G88" s="137"/>
      <c r="H88" s="137"/>
      <c r="I88" s="137"/>
      <c r="J88" s="138"/>
    </row>
    <row r="92" spans="3:11" x14ac:dyDescent="0.25">
      <c r="E92" s="238" t="s">
        <v>14</v>
      </c>
      <c r="F92" s="238"/>
      <c r="G92" s="238"/>
      <c r="H92" s="238"/>
      <c r="I92" s="238"/>
      <c r="J92" s="238"/>
    </row>
    <row r="93" spans="3:11" ht="15.75" thickBot="1" x14ac:dyDescent="0.3">
      <c r="E93" s="153" t="s">
        <v>32</v>
      </c>
      <c r="F93" s="154" t="s">
        <v>33</v>
      </c>
      <c r="G93" s="154" t="s">
        <v>34</v>
      </c>
      <c r="H93" s="154" t="s">
        <v>35</v>
      </c>
      <c r="I93" s="154" t="s">
        <v>36</v>
      </c>
      <c r="J93" s="154" t="s">
        <v>37</v>
      </c>
      <c r="K93" s="198" t="s">
        <v>175</v>
      </c>
    </row>
    <row r="94" spans="3:11" x14ac:dyDescent="0.25">
      <c r="C94" s="237" t="s">
        <v>12</v>
      </c>
      <c r="D94" s="153" t="s">
        <v>1</v>
      </c>
      <c r="E94" s="118"/>
      <c r="F94" s="120"/>
      <c r="G94" s="120"/>
      <c r="H94" s="120"/>
      <c r="I94" s="120"/>
      <c r="J94" s="121"/>
      <c r="K94" s="199">
        <v>-2.2499999999999999E-2</v>
      </c>
    </row>
    <row r="95" spans="3:11" x14ac:dyDescent="0.25">
      <c r="C95" s="237"/>
      <c r="D95" s="154" t="s">
        <v>7</v>
      </c>
      <c r="E95" s="126"/>
      <c r="F95" s="124"/>
      <c r="G95" s="124"/>
      <c r="H95" s="124"/>
      <c r="I95" s="124"/>
      <c r="J95" s="125"/>
      <c r="K95" s="199">
        <v>-4.7500000000000001E-2</v>
      </c>
    </row>
    <row r="96" spans="3:11" x14ac:dyDescent="0.25">
      <c r="C96" s="237"/>
      <c r="D96" s="154" t="s">
        <v>8</v>
      </c>
      <c r="E96" s="143"/>
      <c r="F96" s="124"/>
      <c r="G96" s="124"/>
      <c r="H96" s="124"/>
      <c r="I96" s="124"/>
      <c r="J96" s="125"/>
      <c r="K96" s="199">
        <v>-7.2499999999999995E-2</v>
      </c>
    </row>
    <row r="97" spans="2:11" x14ac:dyDescent="0.25">
      <c r="C97" s="237"/>
      <c r="D97" s="154" t="s">
        <v>9</v>
      </c>
      <c r="E97" s="143"/>
      <c r="F97" s="124"/>
      <c r="G97" s="124"/>
      <c r="H97" s="124"/>
      <c r="I97" s="124"/>
      <c r="J97" s="125"/>
      <c r="K97" s="199">
        <v>-9.7500000000000003E-2</v>
      </c>
    </row>
    <row r="98" spans="2:11" x14ac:dyDescent="0.25">
      <c r="C98" s="237"/>
      <c r="D98" s="154" t="s">
        <v>10</v>
      </c>
      <c r="E98" s="143"/>
      <c r="F98" s="124"/>
      <c r="G98" s="124"/>
      <c r="H98" s="124"/>
      <c r="I98" s="124"/>
      <c r="J98" s="125"/>
      <c r="K98" s="199">
        <v>-0.1225</v>
      </c>
    </row>
    <row r="99" spans="2:11" ht="15.75" thickBot="1" x14ac:dyDescent="0.3">
      <c r="C99" s="237"/>
      <c r="D99" s="154" t="s">
        <v>11</v>
      </c>
      <c r="E99" s="127"/>
      <c r="F99" s="128"/>
      <c r="G99" s="128"/>
      <c r="H99" s="128"/>
      <c r="I99" s="128"/>
      <c r="J99" s="129"/>
      <c r="K99" s="199">
        <v>-0.16625000000000001</v>
      </c>
    </row>
    <row r="100" spans="2:11" x14ac:dyDescent="0.25">
      <c r="D100" s="194" t="s">
        <v>173</v>
      </c>
      <c r="E100" s="195">
        <v>8</v>
      </c>
      <c r="F100" s="195">
        <v>4.3</v>
      </c>
      <c r="G100" s="195">
        <v>3.3</v>
      </c>
      <c r="H100" s="195">
        <v>2.8</v>
      </c>
      <c r="I100" s="195">
        <v>2.5</v>
      </c>
      <c r="J100" s="195">
        <v>2.1</v>
      </c>
    </row>
    <row r="104" spans="2:11" ht="15.75" x14ac:dyDescent="0.25">
      <c r="B104" s="239" t="s">
        <v>19</v>
      </c>
      <c r="C104" s="239"/>
      <c r="D104" s="239"/>
      <c r="E104" s="239"/>
      <c r="F104" s="239"/>
      <c r="G104" s="239"/>
      <c r="H104" s="239"/>
      <c r="I104" s="239"/>
      <c r="J104" s="239"/>
    </row>
    <row r="106" spans="2:11" x14ac:dyDescent="0.25">
      <c r="E106" s="238" t="s">
        <v>152</v>
      </c>
      <c r="F106" s="238"/>
      <c r="G106" s="238"/>
      <c r="H106" s="238"/>
      <c r="I106" s="238"/>
      <c r="J106" s="238"/>
    </row>
    <row r="107" spans="2:11" ht="15.75" thickBot="1" x14ac:dyDescent="0.3">
      <c r="E107" s="153" t="s">
        <v>38</v>
      </c>
      <c r="F107" s="154" t="s">
        <v>39</v>
      </c>
      <c r="G107" s="154" t="s">
        <v>40</v>
      </c>
      <c r="H107" s="154" t="s">
        <v>41</v>
      </c>
      <c r="I107" s="154" t="s">
        <v>42</v>
      </c>
      <c r="J107" s="154" t="s">
        <v>43</v>
      </c>
      <c r="K107" s="197"/>
    </row>
    <row r="108" spans="2:11" x14ac:dyDescent="0.25">
      <c r="C108" s="237" t="s">
        <v>12</v>
      </c>
      <c r="D108" s="153" t="s">
        <v>1</v>
      </c>
      <c r="E108" s="130"/>
      <c r="F108" s="131"/>
      <c r="G108" s="131"/>
      <c r="H108" s="131"/>
      <c r="I108" s="131"/>
      <c r="J108" s="132"/>
      <c r="K108" s="196"/>
    </row>
    <row r="109" spans="2:11" x14ac:dyDescent="0.25">
      <c r="C109" s="237"/>
      <c r="D109" s="154" t="s">
        <v>7</v>
      </c>
      <c r="E109" s="133"/>
      <c r="F109" s="134"/>
      <c r="G109" s="134"/>
      <c r="H109" s="134"/>
      <c r="I109" s="134"/>
      <c r="J109" s="135"/>
      <c r="K109" s="196"/>
    </row>
    <row r="110" spans="2:11" x14ac:dyDescent="0.25">
      <c r="C110" s="237"/>
      <c r="D110" s="154" t="s">
        <v>8</v>
      </c>
      <c r="E110" s="133"/>
      <c r="F110" s="134"/>
      <c r="G110" s="134"/>
      <c r="H110" s="134"/>
      <c r="I110" s="134"/>
      <c r="J110" s="135"/>
      <c r="K110" s="196"/>
    </row>
    <row r="111" spans="2:11" x14ac:dyDescent="0.25">
      <c r="C111" s="237"/>
      <c r="D111" s="154" t="s">
        <v>9</v>
      </c>
      <c r="E111" s="133"/>
      <c r="F111" s="134"/>
      <c r="G111" s="134"/>
      <c r="H111" s="134"/>
      <c r="I111" s="134"/>
      <c r="J111" s="135"/>
      <c r="K111" s="196"/>
    </row>
    <row r="112" spans="2:11" x14ac:dyDescent="0.25">
      <c r="C112" s="237"/>
      <c r="D112" s="154" t="s">
        <v>10</v>
      </c>
      <c r="E112" s="133"/>
      <c r="F112" s="134"/>
      <c r="G112" s="134"/>
      <c r="H112" s="134"/>
      <c r="I112" s="134"/>
      <c r="J112" s="135"/>
      <c r="K112" s="196"/>
    </row>
    <row r="113" spans="3:11" ht="15.75" thickBot="1" x14ac:dyDescent="0.3">
      <c r="C113" s="237"/>
      <c r="D113" s="154" t="s">
        <v>11</v>
      </c>
      <c r="E113" s="136"/>
      <c r="F113" s="137"/>
      <c r="G113" s="137"/>
      <c r="H113" s="137"/>
      <c r="I113" s="137"/>
      <c r="J113" s="138"/>
      <c r="K113" s="196"/>
    </row>
    <row r="117" spans="3:11" x14ac:dyDescent="0.25">
      <c r="E117" s="238" t="s">
        <v>14</v>
      </c>
      <c r="F117" s="238"/>
      <c r="G117" s="238"/>
      <c r="H117" s="238"/>
      <c r="I117" s="238"/>
      <c r="J117" s="238"/>
    </row>
    <row r="118" spans="3:11" ht="15.75" thickBot="1" x14ac:dyDescent="0.3">
      <c r="E118" s="153" t="s">
        <v>38</v>
      </c>
      <c r="F118" s="154" t="s">
        <v>39</v>
      </c>
      <c r="G118" s="154" t="s">
        <v>40</v>
      </c>
      <c r="H118" s="154" t="s">
        <v>41</v>
      </c>
      <c r="I118" s="154" t="s">
        <v>42</v>
      </c>
      <c r="J118" s="154" t="s">
        <v>43</v>
      </c>
      <c r="K118" s="198" t="s">
        <v>175</v>
      </c>
    </row>
    <row r="119" spans="3:11" x14ac:dyDescent="0.25">
      <c r="C119" s="237" t="s">
        <v>12</v>
      </c>
      <c r="D119" s="153" t="s">
        <v>1</v>
      </c>
      <c r="E119" s="118"/>
      <c r="F119" s="120"/>
      <c r="G119" s="120"/>
      <c r="H119" s="120"/>
      <c r="I119" s="120"/>
      <c r="J119" s="121"/>
      <c r="K119" s="199">
        <v>-1.2500000000000001E-2</v>
      </c>
    </row>
    <row r="120" spans="3:11" x14ac:dyDescent="0.25">
      <c r="C120" s="237"/>
      <c r="D120" s="154" t="s">
        <v>7</v>
      </c>
      <c r="E120" s="126"/>
      <c r="F120" s="124"/>
      <c r="G120" s="124"/>
      <c r="H120" s="124"/>
      <c r="I120" s="124"/>
      <c r="J120" s="125"/>
      <c r="K120" s="199">
        <v>-3.7499999999999999E-2</v>
      </c>
    </row>
    <row r="121" spans="3:11" x14ac:dyDescent="0.25">
      <c r="C121" s="237"/>
      <c r="D121" s="154" t="s">
        <v>8</v>
      </c>
      <c r="E121" s="143"/>
      <c r="F121" s="124"/>
      <c r="G121" s="124"/>
      <c r="H121" s="124"/>
      <c r="I121" s="124"/>
      <c r="J121" s="125"/>
      <c r="K121" s="199">
        <v>-6.25E-2</v>
      </c>
    </row>
    <row r="122" spans="3:11" x14ac:dyDescent="0.25">
      <c r="C122" s="237"/>
      <c r="D122" s="154" t="s">
        <v>9</v>
      </c>
      <c r="E122" s="143"/>
      <c r="F122" s="124"/>
      <c r="G122" s="124"/>
      <c r="H122" s="124"/>
      <c r="I122" s="124"/>
      <c r="J122" s="125"/>
      <c r="K122" s="199">
        <v>-8.7500000000000008E-2</v>
      </c>
    </row>
    <row r="123" spans="3:11" x14ac:dyDescent="0.25">
      <c r="C123" s="237"/>
      <c r="D123" s="154" t="s">
        <v>10</v>
      </c>
      <c r="E123" s="143"/>
      <c r="F123" s="124"/>
      <c r="G123" s="124"/>
      <c r="H123" s="124"/>
      <c r="I123" s="124"/>
      <c r="J123" s="125"/>
      <c r="K123" s="199">
        <v>-0.1125</v>
      </c>
    </row>
    <row r="124" spans="3:11" ht="15.75" thickBot="1" x14ac:dyDescent="0.3">
      <c r="C124" s="237"/>
      <c r="D124" s="154" t="s">
        <v>11</v>
      </c>
      <c r="E124" s="127"/>
      <c r="F124" s="128"/>
      <c r="G124" s="128"/>
      <c r="H124" s="128"/>
      <c r="I124" s="128"/>
      <c r="J124" s="129"/>
      <c r="K124" s="199">
        <v>-0.15625</v>
      </c>
    </row>
    <row r="125" spans="3:11" x14ac:dyDescent="0.25">
      <c r="D125" s="194" t="s">
        <v>173</v>
      </c>
      <c r="E125" s="195">
        <v>7.4</v>
      </c>
      <c r="F125" s="195">
        <v>4.3</v>
      </c>
      <c r="G125" s="195">
        <v>3.4</v>
      </c>
      <c r="H125" s="195">
        <v>2.8</v>
      </c>
      <c r="I125" s="195">
        <v>2.5</v>
      </c>
      <c r="J125" s="195">
        <v>2.1</v>
      </c>
    </row>
    <row r="129" spans="2:11" ht="15.75" x14ac:dyDescent="0.25">
      <c r="B129" s="239" t="s">
        <v>48</v>
      </c>
      <c r="C129" s="239"/>
      <c r="D129" s="239"/>
      <c r="E129" s="239"/>
      <c r="F129" s="239"/>
      <c r="G129" s="239"/>
      <c r="H129" s="239"/>
      <c r="I129" s="239"/>
      <c r="J129" s="239"/>
    </row>
    <row r="131" spans="2:11" x14ac:dyDescent="0.25">
      <c r="E131" s="238" t="s">
        <v>152</v>
      </c>
      <c r="F131" s="238"/>
      <c r="G131" s="238"/>
      <c r="H131" s="238"/>
      <c r="I131" s="238"/>
      <c r="J131" s="238"/>
    </row>
    <row r="132" spans="2:11" ht="15.75" thickBot="1" x14ac:dyDescent="0.3">
      <c r="E132" s="153" t="s">
        <v>127</v>
      </c>
      <c r="F132" s="154" t="s">
        <v>128</v>
      </c>
      <c r="G132" s="154" t="s">
        <v>46</v>
      </c>
      <c r="H132" s="154" t="s">
        <v>47</v>
      </c>
      <c r="I132" s="154" t="s">
        <v>63</v>
      </c>
      <c r="J132" s="154" t="s">
        <v>64</v>
      </c>
    </row>
    <row r="133" spans="2:11" ht="15" customHeight="1" x14ac:dyDescent="0.25">
      <c r="C133" s="237" t="s">
        <v>12</v>
      </c>
      <c r="D133" s="153" t="s">
        <v>1</v>
      </c>
      <c r="E133" s="130"/>
      <c r="F133" s="131"/>
      <c r="G133" s="131"/>
      <c r="H133" s="131"/>
      <c r="I133" s="131"/>
      <c r="J133" s="132"/>
    </row>
    <row r="134" spans="2:11" x14ac:dyDescent="0.25">
      <c r="C134" s="237"/>
      <c r="D134" s="154" t="s">
        <v>7</v>
      </c>
      <c r="E134" s="133"/>
      <c r="F134" s="134"/>
      <c r="G134" s="134"/>
      <c r="H134" s="134"/>
      <c r="I134" s="134"/>
      <c r="J134" s="135"/>
    </row>
    <row r="135" spans="2:11" x14ac:dyDescent="0.25">
      <c r="C135" s="237"/>
      <c r="D135" s="154" t="s">
        <v>8</v>
      </c>
      <c r="E135" s="133"/>
      <c r="F135" s="134"/>
      <c r="G135" s="134"/>
      <c r="H135" s="134"/>
      <c r="I135" s="134"/>
      <c r="J135" s="135"/>
    </row>
    <row r="136" spans="2:11" x14ac:dyDescent="0.25">
      <c r="C136" s="237"/>
      <c r="D136" s="154" t="s">
        <v>9</v>
      </c>
      <c r="E136" s="133"/>
      <c r="F136" s="134"/>
      <c r="G136" s="134"/>
      <c r="H136" s="134"/>
      <c r="I136" s="134"/>
      <c r="J136" s="135"/>
    </row>
    <row r="137" spans="2:11" x14ac:dyDescent="0.25">
      <c r="C137" s="237"/>
      <c r="D137" s="154" t="s">
        <v>10</v>
      </c>
      <c r="E137" s="133"/>
      <c r="F137" s="134"/>
      <c r="G137" s="134"/>
      <c r="H137" s="134"/>
      <c r="I137" s="134"/>
      <c r="J137" s="135"/>
    </row>
    <row r="138" spans="2:11" ht="15.75" thickBot="1" x14ac:dyDescent="0.3">
      <c r="C138" s="237"/>
      <c r="D138" s="154" t="s">
        <v>11</v>
      </c>
      <c r="E138" s="136"/>
      <c r="F138" s="137"/>
      <c r="G138" s="137"/>
      <c r="H138" s="137"/>
      <c r="I138" s="137"/>
      <c r="J138" s="138"/>
    </row>
    <row r="142" spans="2:11" x14ac:dyDescent="0.25">
      <c r="E142" s="238" t="s">
        <v>14</v>
      </c>
      <c r="F142" s="238"/>
      <c r="G142" s="238"/>
      <c r="H142" s="238"/>
      <c r="I142" s="238"/>
      <c r="J142" s="238"/>
    </row>
    <row r="143" spans="2:11" ht="15.75" thickBot="1" x14ac:dyDescent="0.3">
      <c r="E143" s="153" t="s">
        <v>127</v>
      </c>
      <c r="F143" s="154" t="s">
        <v>128</v>
      </c>
      <c r="G143" s="154" t="s">
        <v>46</v>
      </c>
      <c r="H143" s="154" t="s">
        <v>47</v>
      </c>
      <c r="I143" s="154" t="s">
        <v>63</v>
      </c>
      <c r="J143" s="154" t="s">
        <v>64</v>
      </c>
      <c r="K143" s="198" t="s">
        <v>175</v>
      </c>
    </row>
    <row r="144" spans="2:11" ht="15" customHeight="1" x14ac:dyDescent="0.25">
      <c r="C144" s="237" t="s">
        <v>12</v>
      </c>
      <c r="D144" s="153" t="s">
        <v>1</v>
      </c>
      <c r="E144" s="202"/>
      <c r="F144" s="120"/>
      <c r="G144" s="120"/>
      <c r="H144" s="120"/>
      <c r="I144" s="120"/>
      <c r="J144" s="121"/>
      <c r="K144" s="199">
        <v>-5.0000000000000001E-3</v>
      </c>
    </row>
    <row r="145" spans="2:11" x14ac:dyDescent="0.25">
      <c r="C145" s="237"/>
      <c r="D145" s="154" t="s">
        <v>7</v>
      </c>
      <c r="E145" s="143"/>
      <c r="F145" s="124"/>
      <c r="G145" s="124"/>
      <c r="H145" s="124"/>
      <c r="I145" s="124"/>
      <c r="J145" s="125"/>
      <c r="K145" s="199">
        <v>-1.4999999999999999E-2</v>
      </c>
    </row>
    <row r="146" spans="2:11" x14ac:dyDescent="0.25">
      <c r="C146" s="237"/>
      <c r="D146" s="154" t="s">
        <v>8</v>
      </c>
      <c r="E146" s="143"/>
      <c r="F146" s="124"/>
      <c r="G146" s="124"/>
      <c r="H146" s="124"/>
      <c r="I146" s="124"/>
      <c r="J146" s="125"/>
      <c r="K146" s="199">
        <v>-2.5000000000000001E-2</v>
      </c>
    </row>
    <row r="147" spans="2:11" x14ac:dyDescent="0.25">
      <c r="C147" s="237"/>
      <c r="D147" s="154" t="s">
        <v>9</v>
      </c>
      <c r="E147" s="143"/>
      <c r="F147" s="124"/>
      <c r="G147" s="124"/>
      <c r="H147" s="124"/>
      <c r="I147" s="124"/>
      <c r="J147" s="125"/>
      <c r="K147" s="199">
        <v>-3.5000000000000003E-2</v>
      </c>
    </row>
    <row r="148" spans="2:11" x14ac:dyDescent="0.25">
      <c r="C148" s="237"/>
      <c r="D148" s="154" t="s">
        <v>10</v>
      </c>
      <c r="E148" s="143"/>
      <c r="F148" s="124"/>
      <c r="G148" s="124"/>
      <c r="H148" s="124"/>
      <c r="I148" s="124"/>
      <c r="J148" s="125"/>
      <c r="K148" s="199">
        <v>-4.4999999999999998E-2</v>
      </c>
    </row>
    <row r="149" spans="2:11" ht="15.75" thickBot="1" x14ac:dyDescent="0.3">
      <c r="C149" s="237"/>
      <c r="D149" s="154" t="s">
        <v>11</v>
      </c>
      <c r="E149" s="127"/>
      <c r="F149" s="128"/>
      <c r="G149" s="128"/>
      <c r="H149" s="128"/>
      <c r="I149" s="128"/>
      <c r="J149" s="129"/>
      <c r="K149" s="199">
        <v>-6.25E-2</v>
      </c>
    </row>
    <row r="150" spans="2:11" x14ac:dyDescent="0.25">
      <c r="D150" s="194" t="s">
        <v>173</v>
      </c>
      <c r="E150" s="195">
        <v>1</v>
      </c>
      <c r="F150" s="195">
        <v>0.5</v>
      </c>
      <c r="G150" s="195">
        <v>0.4</v>
      </c>
      <c r="H150" s="195">
        <v>0.3</v>
      </c>
      <c r="I150" s="195">
        <v>0.3</v>
      </c>
      <c r="J150" s="195">
        <v>0.2</v>
      </c>
    </row>
    <row r="154" spans="2:11" ht="15.75" x14ac:dyDescent="0.25">
      <c r="B154" s="239" t="s">
        <v>49</v>
      </c>
      <c r="C154" s="239"/>
      <c r="D154" s="239"/>
      <c r="E154" s="239"/>
      <c r="F154" s="239"/>
      <c r="G154" s="239"/>
      <c r="H154" s="239"/>
      <c r="I154" s="239"/>
      <c r="J154" s="239"/>
    </row>
    <row r="156" spans="2:11" x14ac:dyDescent="0.25">
      <c r="E156" s="238" t="s">
        <v>152</v>
      </c>
      <c r="F156" s="238"/>
      <c r="G156" s="238"/>
      <c r="H156" s="238"/>
      <c r="I156" s="238"/>
      <c r="J156" s="238"/>
    </row>
    <row r="157" spans="2:11" ht="15.75" thickBot="1" x14ac:dyDescent="0.3">
      <c r="E157" s="153" t="s">
        <v>44</v>
      </c>
      <c r="F157" s="154" t="s">
        <v>45</v>
      </c>
      <c r="G157" s="154" t="s">
        <v>46</v>
      </c>
      <c r="H157" s="154" t="s">
        <v>47</v>
      </c>
      <c r="I157" s="154" t="s">
        <v>61</v>
      </c>
      <c r="J157" s="154" t="s">
        <v>62</v>
      </c>
    </row>
    <row r="158" spans="2:11" ht="15" customHeight="1" x14ac:dyDescent="0.25">
      <c r="C158" s="237" t="s">
        <v>12</v>
      </c>
      <c r="D158" s="153" t="s">
        <v>1</v>
      </c>
      <c r="E158" s="144"/>
      <c r="F158" s="145"/>
      <c r="G158" s="145"/>
      <c r="H158" s="145"/>
      <c r="I158" s="145"/>
      <c r="J158" s="146"/>
    </row>
    <row r="159" spans="2:11" x14ac:dyDescent="0.25">
      <c r="C159" s="237"/>
      <c r="D159" s="154" t="s">
        <v>7</v>
      </c>
      <c r="E159" s="147"/>
      <c r="F159" s="142"/>
      <c r="G159" s="142"/>
      <c r="H159" s="142"/>
      <c r="I159" s="142"/>
      <c r="J159" s="148"/>
    </row>
    <row r="160" spans="2:11" x14ac:dyDescent="0.25">
      <c r="C160" s="237"/>
      <c r="D160" s="154" t="s">
        <v>8</v>
      </c>
      <c r="E160" s="147"/>
      <c r="F160" s="142"/>
      <c r="G160" s="142"/>
      <c r="H160" s="142"/>
      <c r="I160" s="142"/>
      <c r="J160" s="148"/>
    </row>
    <row r="161" spans="3:11" x14ac:dyDescent="0.25">
      <c r="C161" s="237"/>
      <c r="D161" s="154" t="s">
        <v>9</v>
      </c>
      <c r="E161" s="147"/>
      <c r="F161" s="142"/>
      <c r="G161" s="142"/>
      <c r="H161" s="142"/>
      <c r="I161" s="142"/>
      <c r="J161" s="148"/>
    </row>
    <row r="162" spans="3:11" x14ac:dyDescent="0.25">
      <c r="C162" s="237"/>
      <c r="D162" s="154" t="s">
        <v>10</v>
      </c>
      <c r="E162" s="147"/>
      <c r="F162" s="142"/>
      <c r="G162" s="142"/>
      <c r="H162" s="142"/>
      <c r="I162" s="142"/>
      <c r="J162" s="148"/>
    </row>
    <row r="163" spans="3:11" ht="15.75" thickBot="1" x14ac:dyDescent="0.3">
      <c r="C163" s="237"/>
      <c r="D163" s="154" t="s">
        <v>11</v>
      </c>
      <c r="E163" s="149"/>
      <c r="F163" s="150"/>
      <c r="G163" s="150"/>
      <c r="H163" s="150"/>
      <c r="I163" s="150"/>
      <c r="J163" s="151"/>
    </row>
    <row r="167" spans="3:11" x14ac:dyDescent="0.25">
      <c r="E167" s="238" t="s">
        <v>14</v>
      </c>
      <c r="F167" s="238"/>
      <c r="G167" s="238"/>
      <c r="H167" s="238"/>
      <c r="I167" s="238"/>
      <c r="J167" s="238"/>
    </row>
    <row r="168" spans="3:11" ht="15.75" thickBot="1" x14ac:dyDescent="0.3">
      <c r="E168" s="153" t="s">
        <v>44</v>
      </c>
      <c r="F168" s="154" t="s">
        <v>45</v>
      </c>
      <c r="G168" s="154" t="s">
        <v>46</v>
      </c>
      <c r="H168" s="154" t="s">
        <v>47</v>
      </c>
      <c r="I168" s="154" t="s">
        <v>61</v>
      </c>
      <c r="J168" s="154" t="s">
        <v>62</v>
      </c>
      <c r="K168" s="198" t="s">
        <v>175</v>
      </c>
    </row>
    <row r="169" spans="3:11" ht="15" customHeight="1" x14ac:dyDescent="0.25">
      <c r="C169" s="237" t="s">
        <v>12</v>
      </c>
      <c r="D169" s="153" t="s">
        <v>1</v>
      </c>
      <c r="E169" s="118"/>
      <c r="F169" s="119"/>
      <c r="G169" s="120"/>
      <c r="H169" s="120"/>
      <c r="I169" s="120"/>
      <c r="J169" s="121"/>
      <c r="K169" s="199">
        <v>-5.0000000000000001E-3</v>
      </c>
    </row>
    <row r="170" spans="3:11" x14ac:dyDescent="0.25">
      <c r="C170" s="237"/>
      <c r="D170" s="154" t="s">
        <v>7</v>
      </c>
      <c r="E170" s="126"/>
      <c r="F170" s="123"/>
      <c r="G170" s="124"/>
      <c r="H170" s="124"/>
      <c r="I170" s="124"/>
      <c r="J170" s="125"/>
      <c r="K170" s="199">
        <v>-1.4999999999999999E-2</v>
      </c>
    </row>
    <row r="171" spans="3:11" x14ac:dyDescent="0.25">
      <c r="C171" s="237"/>
      <c r="D171" s="154" t="s">
        <v>8</v>
      </c>
      <c r="E171" s="143"/>
      <c r="F171" s="124"/>
      <c r="G171" s="124"/>
      <c r="H171" s="124"/>
      <c r="I171" s="124"/>
      <c r="J171" s="125"/>
      <c r="K171" s="199">
        <v>-2.5000000000000001E-2</v>
      </c>
    </row>
    <row r="172" spans="3:11" x14ac:dyDescent="0.25">
      <c r="C172" s="237"/>
      <c r="D172" s="154" t="s">
        <v>9</v>
      </c>
      <c r="E172" s="143"/>
      <c r="F172" s="124"/>
      <c r="G172" s="124"/>
      <c r="H172" s="124"/>
      <c r="I172" s="124"/>
      <c r="J172" s="125"/>
      <c r="K172" s="199">
        <v>-3.5000000000000003E-2</v>
      </c>
    </row>
    <row r="173" spans="3:11" x14ac:dyDescent="0.25">
      <c r="C173" s="237"/>
      <c r="D173" s="154" t="s">
        <v>10</v>
      </c>
      <c r="E173" s="143"/>
      <c r="F173" s="124"/>
      <c r="G173" s="124"/>
      <c r="H173" s="124"/>
      <c r="I173" s="124"/>
      <c r="J173" s="125"/>
      <c r="K173" s="199">
        <v>-4.4999999999999998E-2</v>
      </c>
    </row>
    <row r="174" spans="3:11" ht="15.75" thickBot="1" x14ac:dyDescent="0.3">
      <c r="C174" s="237"/>
      <c r="D174" s="154" t="s">
        <v>11</v>
      </c>
      <c r="E174" s="127"/>
      <c r="F174" s="128"/>
      <c r="G174" s="128"/>
      <c r="H174" s="128"/>
      <c r="I174" s="128"/>
      <c r="J174" s="129"/>
      <c r="K174" s="199">
        <v>-6.25E-2</v>
      </c>
    </row>
    <row r="175" spans="3:11" x14ac:dyDescent="0.25">
      <c r="D175" s="194" t="s">
        <v>173</v>
      </c>
      <c r="E175" s="195">
        <v>8.6999999999999993</v>
      </c>
      <c r="F175" s="195">
        <v>5</v>
      </c>
      <c r="G175" s="195">
        <v>3.9</v>
      </c>
      <c r="H175" s="195">
        <v>3.3</v>
      </c>
      <c r="I175" s="195">
        <v>2.2999999999999998</v>
      </c>
      <c r="J175" s="195">
        <v>1.8</v>
      </c>
    </row>
    <row r="179" spans="2:10" ht="15.75" x14ac:dyDescent="0.25">
      <c r="B179" s="239" t="s">
        <v>50</v>
      </c>
      <c r="C179" s="239"/>
      <c r="D179" s="239"/>
      <c r="E179" s="239"/>
      <c r="F179" s="239"/>
      <c r="G179" s="239"/>
      <c r="H179" s="239"/>
      <c r="I179" s="239"/>
      <c r="J179" s="239"/>
    </row>
    <row r="181" spans="2:10" x14ac:dyDescent="0.25">
      <c r="E181" s="238" t="s">
        <v>152</v>
      </c>
      <c r="F181" s="238"/>
      <c r="G181" s="238"/>
      <c r="H181" s="238"/>
      <c r="I181" s="238"/>
      <c r="J181" s="238"/>
    </row>
    <row r="182" spans="2:10" ht="15.75" thickBot="1" x14ac:dyDescent="0.3">
      <c r="E182" s="153" t="s">
        <v>57</v>
      </c>
      <c r="F182" s="154" t="s">
        <v>56</v>
      </c>
      <c r="G182" s="154" t="s">
        <v>52</v>
      </c>
      <c r="H182" s="154" t="s">
        <v>54</v>
      </c>
      <c r="I182" s="154" t="s">
        <v>55</v>
      </c>
      <c r="J182" s="154" t="s">
        <v>53</v>
      </c>
    </row>
    <row r="183" spans="2:10" ht="15" customHeight="1" x14ac:dyDescent="0.25">
      <c r="C183" s="237" t="s">
        <v>12</v>
      </c>
      <c r="D183" s="153" t="s">
        <v>1</v>
      </c>
      <c r="E183" s="130"/>
      <c r="F183" s="131"/>
      <c r="G183" s="131"/>
      <c r="H183" s="131"/>
      <c r="I183" s="131"/>
      <c r="J183" s="132"/>
    </row>
    <row r="184" spans="2:10" x14ac:dyDescent="0.25">
      <c r="C184" s="237"/>
      <c r="D184" s="154" t="s">
        <v>7</v>
      </c>
      <c r="E184" s="133"/>
      <c r="F184" s="134"/>
      <c r="G184" s="134"/>
      <c r="H184" s="134"/>
      <c r="I184" s="134"/>
      <c r="J184" s="135"/>
    </row>
    <row r="185" spans="2:10" x14ac:dyDescent="0.25">
      <c r="C185" s="237"/>
      <c r="D185" s="154" t="s">
        <v>8</v>
      </c>
      <c r="E185" s="133"/>
      <c r="F185" s="134"/>
      <c r="G185" s="134"/>
      <c r="H185" s="134"/>
      <c r="I185" s="134"/>
      <c r="J185" s="135"/>
    </row>
    <row r="186" spans="2:10" x14ac:dyDescent="0.25">
      <c r="C186" s="237"/>
      <c r="D186" s="154" t="s">
        <v>9</v>
      </c>
      <c r="E186" s="133"/>
      <c r="F186" s="134"/>
      <c r="G186" s="134"/>
      <c r="H186" s="134"/>
      <c r="I186" s="134"/>
      <c r="J186" s="135"/>
    </row>
    <row r="187" spans="2:10" x14ac:dyDescent="0.25">
      <c r="C187" s="237"/>
      <c r="D187" s="154" t="s">
        <v>10</v>
      </c>
      <c r="E187" s="133"/>
      <c r="F187" s="134"/>
      <c r="G187" s="134"/>
      <c r="H187" s="134"/>
      <c r="I187" s="134"/>
      <c r="J187" s="135"/>
    </row>
    <row r="188" spans="2:10" ht="15.75" thickBot="1" x14ac:dyDescent="0.3">
      <c r="C188" s="237"/>
      <c r="D188" s="154" t="s">
        <v>11</v>
      </c>
      <c r="E188" s="136"/>
      <c r="F188" s="137"/>
      <c r="G188" s="137"/>
      <c r="H188" s="137"/>
      <c r="I188" s="137"/>
      <c r="J188" s="138"/>
    </row>
    <row r="189" spans="2:10" x14ac:dyDescent="0.25">
      <c r="D189" s="193"/>
    </row>
    <row r="192" spans="2:10" x14ac:dyDescent="0.25">
      <c r="E192" s="238" t="s">
        <v>14</v>
      </c>
      <c r="F192" s="238"/>
      <c r="G192" s="238"/>
      <c r="H192" s="238"/>
      <c r="I192" s="238"/>
      <c r="J192" s="238"/>
    </row>
    <row r="193" spans="1:11" ht="15.75" thickBot="1" x14ac:dyDescent="0.3">
      <c r="E193" s="153" t="s">
        <v>57</v>
      </c>
      <c r="F193" s="154" t="s">
        <v>56</v>
      </c>
      <c r="G193" s="154" t="s">
        <v>52</v>
      </c>
      <c r="H193" s="154" t="s">
        <v>54</v>
      </c>
      <c r="I193" s="154" t="s">
        <v>55</v>
      </c>
      <c r="J193" s="154" t="s">
        <v>53</v>
      </c>
      <c r="K193" s="198" t="s">
        <v>175</v>
      </c>
    </row>
    <row r="194" spans="1:11" ht="15" customHeight="1" x14ac:dyDescent="0.25">
      <c r="C194" s="237" t="s">
        <v>12</v>
      </c>
      <c r="D194" s="153" t="s">
        <v>1</v>
      </c>
      <c r="E194" s="202"/>
      <c r="F194" s="120"/>
      <c r="G194" s="120"/>
      <c r="H194" s="120"/>
      <c r="I194" s="120"/>
      <c r="J194" s="121"/>
      <c r="K194" s="199">
        <v>-5.0000000000000001E-3</v>
      </c>
    </row>
    <row r="195" spans="1:11" x14ac:dyDescent="0.25">
      <c r="C195" s="237"/>
      <c r="D195" s="154" t="s">
        <v>7</v>
      </c>
      <c r="E195" s="143"/>
      <c r="F195" s="124"/>
      <c r="G195" s="124"/>
      <c r="H195" s="124"/>
      <c r="I195" s="124"/>
      <c r="J195" s="125"/>
      <c r="K195" s="199">
        <v>-1.4999999999999999E-2</v>
      </c>
    </row>
    <row r="196" spans="1:11" x14ac:dyDescent="0.25">
      <c r="C196" s="237"/>
      <c r="D196" s="154" t="s">
        <v>8</v>
      </c>
      <c r="E196" s="143"/>
      <c r="F196" s="124"/>
      <c r="G196" s="124"/>
      <c r="H196" s="124"/>
      <c r="I196" s="124"/>
      <c r="J196" s="125"/>
      <c r="K196" s="199">
        <v>-2.5000000000000001E-2</v>
      </c>
    </row>
    <row r="197" spans="1:11" x14ac:dyDescent="0.25">
      <c r="C197" s="237"/>
      <c r="D197" s="154" t="s">
        <v>9</v>
      </c>
      <c r="E197" s="143"/>
      <c r="F197" s="124"/>
      <c r="G197" s="124"/>
      <c r="H197" s="124"/>
      <c r="I197" s="124"/>
      <c r="J197" s="125"/>
      <c r="K197" s="199">
        <v>-3.5000000000000003E-2</v>
      </c>
    </row>
    <row r="198" spans="1:11" x14ac:dyDescent="0.25">
      <c r="C198" s="237"/>
      <c r="D198" s="154" t="s">
        <v>10</v>
      </c>
      <c r="E198" s="143"/>
      <c r="F198" s="124"/>
      <c r="G198" s="124"/>
      <c r="H198" s="124"/>
      <c r="I198" s="124"/>
      <c r="J198" s="125"/>
      <c r="K198" s="199">
        <v>-4.4999999999999998E-2</v>
      </c>
    </row>
    <row r="199" spans="1:11" ht="15.75" thickBot="1" x14ac:dyDescent="0.3">
      <c r="C199" s="237"/>
      <c r="D199" s="154" t="s">
        <v>11</v>
      </c>
      <c r="E199" s="127"/>
      <c r="F199" s="128"/>
      <c r="G199" s="128"/>
      <c r="H199" s="128"/>
      <c r="I199" s="128"/>
      <c r="J199" s="129"/>
      <c r="K199" s="199">
        <v>-6.25E-2</v>
      </c>
    </row>
    <row r="200" spans="1:11" x14ac:dyDescent="0.25">
      <c r="D200" s="194" t="s">
        <v>173</v>
      </c>
      <c r="E200" s="195">
        <v>0.6</v>
      </c>
      <c r="F200" s="195">
        <v>0.4</v>
      </c>
      <c r="G200" s="195">
        <v>0.2</v>
      </c>
      <c r="H200" s="195">
        <v>0.2</v>
      </c>
      <c r="I200" s="195">
        <v>0.1</v>
      </c>
      <c r="J200" s="195">
        <v>0.1</v>
      </c>
    </row>
    <row r="204" spans="1:11" ht="15.75" x14ac:dyDescent="0.25">
      <c r="A204" s="3"/>
      <c r="B204" s="239" t="s">
        <v>51</v>
      </c>
      <c r="C204" s="239"/>
      <c r="D204" s="239"/>
      <c r="E204" s="239"/>
      <c r="F204" s="239"/>
      <c r="G204" s="239"/>
      <c r="H204" s="239"/>
      <c r="I204" s="239"/>
      <c r="J204" s="239"/>
      <c r="K204" s="3"/>
    </row>
    <row r="205" spans="1:11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</row>
    <row r="206" spans="1:11" x14ac:dyDescent="0.25">
      <c r="A206" s="3"/>
      <c r="B206" s="3"/>
      <c r="C206" s="3"/>
      <c r="D206" s="3"/>
      <c r="E206" s="241" t="s">
        <v>15</v>
      </c>
      <c r="F206" s="241"/>
      <c r="G206" s="241"/>
      <c r="H206" s="241"/>
      <c r="I206" s="241"/>
      <c r="J206" s="241"/>
      <c r="K206" s="3"/>
    </row>
    <row r="207" spans="1:11" ht="15.75" thickBot="1" x14ac:dyDescent="0.3">
      <c r="A207" s="3"/>
      <c r="B207" s="3"/>
      <c r="C207" s="3"/>
      <c r="D207" s="3"/>
      <c r="E207" s="1" t="s">
        <v>57</v>
      </c>
      <c r="F207" s="2" t="s">
        <v>56</v>
      </c>
      <c r="G207" s="2" t="s">
        <v>52</v>
      </c>
      <c r="H207" s="2" t="s">
        <v>59</v>
      </c>
      <c r="I207" s="2" t="s">
        <v>60</v>
      </c>
      <c r="J207" s="2" t="s">
        <v>58</v>
      </c>
      <c r="K207" s="3"/>
    </row>
    <row r="208" spans="1:11" x14ac:dyDescent="0.25">
      <c r="A208" s="3"/>
      <c r="B208" s="3"/>
      <c r="C208" s="242" t="s">
        <v>12</v>
      </c>
      <c r="D208" s="1" t="s">
        <v>1</v>
      </c>
      <c r="E208" s="144"/>
      <c r="F208" s="145"/>
      <c r="G208" s="145"/>
      <c r="H208" s="145"/>
      <c r="I208" s="145"/>
      <c r="J208" s="146"/>
      <c r="K208" s="3"/>
    </row>
    <row r="209" spans="1:11" x14ac:dyDescent="0.25">
      <c r="A209" s="3"/>
      <c r="B209" s="3"/>
      <c r="C209" s="242"/>
      <c r="D209" s="2" t="s">
        <v>7</v>
      </c>
      <c r="E209" s="147"/>
      <c r="F209" s="142"/>
      <c r="G209" s="142"/>
      <c r="H209" s="142"/>
      <c r="I209" s="142"/>
      <c r="J209" s="148"/>
      <c r="K209" s="3"/>
    </row>
    <row r="210" spans="1:11" x14ac:dyDescent="0.25">
      <c r="A210" s="3"/>
      <c r="B210" s="3"/>
      <c r="C210" s="242"/>
      <c r="D210" s="2" t="s">
        <v>8</v>
      </c>
      <c r="E210" s="147"/>
      <c r="F210" s="142"/>
      <c r="G210" s="142"/>
      <c r="H210" s="142"/>
      <c r="I210" s="142"/>
      <c r="J210" s="148"/>
      <c r="K210" s="3"/>
    </row>
    <row r="211" spans="1:11" x14ac:dyDescent="0.25">
      <c r="A211" s="3"/>
      <c r="B211" s="3"/>
      <c r="C211" s="242"/>
      <c r="D211" s="2" t="s">
        <v>9</v>
      </c>
      <c r="E211" s="147"/>
      <c r="F211" s="142"/>
      <c r="G211" s="142"/>
      <c r="H211" s="142"/>
      <c r="I211" s="142"/>
      <c r="J211" s="148"/>
      <c r="K211" s="3"/>
    </row>
    <row r="212" spans="1:11" x14ac:dyDescent="0.25">
      <c r="A212" s="3"/>
      <c r="B212" s="3"/>
      <c r="C212" s="242"/>
      <c r="D212" s="2" t="s">
        <v>10</v>
      </c>
      <c r="E212" s="147"/>
      <c r="F212" s="142"/>
      <c r="G212" s="142"/>
      <c r="H212" s="142"/>
      <c r="I212" s="142"/>
      <c r="J212" s="148"/>
      <c r="K212" s="3"/>
    </row>
    <row r="213" spans="1:11" ht="15.75" thickBot="1" x14ac:dyDescent="0.3">
      <c r="A213" s="3"/>
      <c r="B213" s="3"/>
      <c r="C213" s="242"/>
      <c r="D213" s="2" t="s">
        <v>11</v>
      </c>
      <c r="E213" s="149"/>
      <c r="F213" s="150"/>
      <c r="G213" s="150"/>
      <c r="H213" s="150"/>
      <c r="I213" s="150"/>
      <c r="J213" s="151"/>
      <c r="K213" s="3"/>
    </row>
    <row r="214" spans="1:11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</row>
    <row r="215" spans="1:11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</row>
    <row r="216" spans="1:11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</row>
    <row r="217" spans="1:11" x14ac:dyDescent="0.25">
      <c r="A217" s="3"/>
      <c r="B217" s="3"/>
      <c r="C217" s="3"/>
      <c r="D217" s="3"/>
      <c r="E217" s="241" t="s">
        <v>14</v>
      </c>
      <c r="F217" s="241"/>
      <c r="G217" s="241"/>
      <c r="H217" s="241"/>
      <c r="I217" s="241"/>
      <c r="J217" s="241"/>
      <c r="K217" s="3"/>
    </row>
    <row r="218" spans="1:11" ht="15.75" thickBot="1" x14ac:dyDescent="0.3">
      <c r="A218" s="3"/>
      <c r="B218" s="3"/>
      <c r="C218" s="3"/>
      <c r="D218" s="3"/>
      <c r="E218" s="1" t="s">
        <v>57</v>
      </c>
      <c r="F218" s="2" t="s">
        <v>56</v>
      </c>
      <c r="G218" s="2" t="s">
        <v>52</v>
      </c>
      <c r="H218" s="2" t="s">
        <v>59</v>
      </c>
      <c r="I218" s="2" t="s">
        <v>60</v>
      </c>
      <c r="J218" s="2" t="s">
        <v>58</v>
      </c>
      <c r="K218" s="198" t="s">
        <v>175</v>
      </c>
    </row>
    <row r="219" spans="1:11" x14ac:dyDescent="0.25">
      <c r="A219" s="3"/>
      <c r="B219" s="3"/>
      <c r="C219" s="242" t="s">
        <v>12</v>
      </c>
      <c r="D219" s="1" t="s">
        <v>1</v>
      </c>
      <c r="E219" s="118"/>
      <c r="F219" s="119"/>
      <c r="G219" s="120"/>
      <c r="H219" s="120"/>
      <c r="I219" s="120"/>
      <c r="J219" s="121"/>
      <c r="K219" s="199">
        <v>-5.0000000000000001E-3</v>
      </c>
    </row>
    <row r="220" spans="1:11" x14ac:dyDescent="0.25">
      <c r="A220" s="3"/>
      <c r="B220" s="3"/>
      <c r="C220" s="242"/>
      <c r="D220" s="2" t="s">
        <v>7</v>
      </c>
      <c r="E220" s="126"/>
      <c r="F220" s="123"/>
      <c r="G220" s="124"/>
      <c r="H220" s="124"/>
      <c r="I220" s="124"/>
      <c r="J220" s="125"/>
      <c r="K220" s="199">
        <v>-1.4999999999999999E-2</v>
      </c>
    </row>
    <row r="221" spans="1:11" x14ac:dyDescent="0.25">
      <c r="A221" s="3"/>
      <c r="B221" s="3"/>
      <c r="C221" s="242"/>
      <c r="D221" s="2" t="s">
        <v>8</v>
      </c>
      <c r="E221" s="143"/>
      <c r="F221" s="124"/>
      <c r="G221" s="124"/>
      <c r="H221" s="124"/>
      <c r="I221" s="124"/>
      <c r="J221" s="125"/>
      <c r="K221" s="199">
        <v>-2.5000000000000001E-2</v>
      </c>
    </row>
    <row r="222" spans="1:11" x14ac:dyDescent="0.25">
      <c r="A222" s="3"/>
      <c r="B222" s="3"/>
      <c r="C222" s="242"/>
      <c r="D222" s="2" t="s">
        <v>9</v>
      </c>
      <c r="E222" s="143"/>
      <c r="F222" s="124"/>
      <c r="G222" s="124"/>
      <c r="H222" s="124"/>
      <c r="I222" s="124"/>
      <c r="J222" s="125"/>
      <c r="K222" s="199">
        <v>-3.5000000000000003E-2</v>
      </c>
    </row>
    <row r="223" spans="1:11" x14ac:dyDescent="0.25">
      <c r="A223" s="3"/>
      <c r="B223" s="3"/>
      <c r="C223" s="242"/>
      <c r="D223" s="2" t="s">
        <v>10</v>
      </c>
      <c r="E223" s="143"/>
      <c r="F223" s="124"/>
      <c r="G223" s="124"/>
      <c r="H223" s="124"/>
      <c r="I223" s="124"/>
      <c r="J223" s="125"/>
      <c r="K223" s="199">
        <v>-4.4999999999999998E-2</v>
      </c>
    </row>
    <row r="224" spans="1:11" ht="15.75" thickBot="1" x14ac:dyDescent="0.3">
      <c r="A224" s="3"/>
      <c r="B224" s="3"/>
      <c r="C224" s="242"/>
      <c r="D224" s="2" t="s">
        <v>11</v>
      </c>
      <c r="E224" s="127"/>
      <c r="F224" s="128"/>
      <c r="G224" s="128"/>
      <c r="H224" s="128"/>
      <c r="I224" s="128"/>
      <c r="J224" s="129"/>
      <c r="K224" s="199">
        <v>-6.25E-2</v>
      </c>
    </row>
    <row r="225" spans="1:11" x14ac:dyDescent="0.25">
      <c r="A225" s="3"/>
      <c r="B225" s="3"/>
      <c r="C225" s="3"/>
      <c r="D225" s="194" t="s">
        <v>173</v>
      </c>
      <c r="E225" s="195">
        <v>8.6999999999999993</v>
      </c>
      <c r="F225" s="195">
        <v>5.0999999999999996</v>
      </c>
      <c r="G225" s="195">
        <v>3.6</v>
      </c>
      <c r="H225" s="195">
        <v>2.5</v>
      </c>
      <c r="I225" s="195">
        <v>2</v>
      </c>
      <c r="J225" s="195">
        <v>1.6</v>
      </c>
      <c r="K225" s="3"/>
    </row>
  </sheetData>
  <sheetProtection algorithmName="SHA-512" hashValue="fY/FgM8O4nBM+OYcmCv8HDwUqg4g4D2BTnP35fAStbQBMwXPofYNHddafKcJHrI3/zen/Y2+fWRF4pUq2ISzog==" saltValue="znYbpyTQPKFNOvL/m0LpKg==" spinCount="100000" sheet="1" objects="1" scenarios="1" selectLockedCells="1"/>
  <mergeCells count="48">
    <mergeCell ref="B204:J204"/>
    <mergeCell ref="E206:J206"/>
    <mergeCell ref="C208:C213"/>
    <mergeCell ref="E217:J217"/>
    <mergeCell ref="C219:C224"/>
    <mergeCell ref="N42:S42"/>
    <mergeCell ref="B2:J2"/>
    <mergeCell ref="B4:J4"/>
    <mergeCell ref="E6:J6"/>
    <mergeCell ref="C8:C13"/>
    <mergeCell ref="E17:J17"/>
    <mergeCell ref="N17:S17"/>
    <mergeCell ref="C19:C24"/>
    <mergeCell ref="B29:J29"/>
    <mergeCell ref="E31:J31"/>
    <mergeCell ref="C33:C38"/>
    <mergeCell ref="E42:J42"/>
    <mergeCell ref="B104:J104"/>
    <mergeCell ref="C44:C49"/>
    <mergeCell ref="B54:J54"/>
    <mergeCell ref="E56:J56"/>
    <mergeCell ref="C58:C63"/>
    <mergeCell ref="E67:J67"/>
    <mergeCell ref="C69:C74"/>
    <mergeCell ref="B79:J79"/>
    <mergeCell ref="E81:J81"/>
    <mergeCell ref="C83:C88"/>
    <mergeCell ref="E92:J92"/>
    <mergeCell ref="C94:C99"/>
    <mergeCell ref="C158:C163"/>
    <mergeCell ref="E106:J106"/>
    <mergeCell ref="C108:C113"/>
    <mergeCell ref="E117:J117"/>
    <mergeCell ref="C119:C124"/>
    <mergeCell ref="B129:J129"/>
    <mergeCell ref="E131:J131"/>
    <mergeCell ref="C133:C138"/>
    <mergeCell ref="E142:J142"/>
    <mergeCell ref="C144:C149"/>
    <mergeCell ref="B154:J154"/>
    <mergeCell ref="E156:J156"/>
    <mergeCell ref="C194:C199"/>
    <mergeCell ref="E167:J167"/>
    <mergeCell ref="C169:C174"/>
    <mergeCell ref="B179:J179"/>
    <mergeCell ref="E181:J181"/>
    <mergeCell ref="C183:C188"/>
    <mergeCell ref="E192:J192"/>
  </mergeCells>
  <pageMargins left="0.25" right="0.25" top="0.75" bottom="0.75" header="0.3" footer="0.3"/>
  <pageSetup paperSize="494" scale="53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pageSetUpPr fitToPage="1"/>
  </sheetPr>
  <dimension ref="B2:K225"/>
  <sheetViews>
    <sheetView zoomScaleNormal="100" workbookViewId="0">
      <selection activeCell="E8" sqref="E8"/>
    </sheetView>
  </sheetViews>
  <sheetFormatPr defaultColWidth="8.85546875" defaultRowHeight="15" x14ac:dyDescent="0.25"/>
  <cols>
    <col min="1" max="3" width="8.85546875" style="3"/>
    <col min="4" max="20" width="12.7109375" style="3" customWidth="1"/>
    <col min="21" max="16384" width="8.85546875" style="3"/>
  </cols>
  <sheetData>
    <row r="2" spans="2:10" ht="21" x14ac:dyDescent="0.3">
      <c r="B2" s="243" t="s">
        <v>126</v>
      </c>
      <c r="C2" s="243"/>
      <c r="D2" s="243"/>
      <c r="E2" s="243"/>
      <c r="F2" s="243"/>
      <c r="G2" s="243"/>
      <c r="H2" s="243"/>
      <c r="I2" s="243"/>
      <c r="J2" s="243"/>
    </row>
    <row r="4" spans="2:10" ht="15.6" x14ac:dyDescent="0.3">
      <c r="B4" s="239" t="s">
        <v>13</v>
      </c>
      <c r="C4" s="239"/>
      <c r="D4" s="239"/>
      <c r="E4" s="239"/>
      <c r="F4" s="239"/>
      <c r="G4" s="239"/>
      <c r="H4" s="239"/>
      <c r="I4" s="239"/>
      <c r="J4" s="239"/>
    </row>
    <row r="6" spans="2:10" ht="14.45" x14ac:dyDescent="0.3">
      <c r="E6" s="241" t="s">
        <v>15</v>
      </c>
      <c r="F6" s="241"/>
      <c r="G6" s="241"/>
      <c r="H6" s="241"/>
      <c r="I6" s="241"/>
      <c r="J6" s="241"/>
    </row>
    <row r="7" spans="2:10" thickBot="1" x14ac:dyDescent="0.35">
      <c r="E7" s="1" t="s">
        <v>1</v>
      </c>
      <c r="F7" s="2" t="s">
        <v>2</v>
      </c>
      <c r="G7" s="2" t="s">
        <v>3</v>
      </c>
      <c r="H7" s="2" t="s">
        <v>4</v>
      </c>
      <c r="I7" s="2" t="s">
        <v>5</v>
      </c>
      <c r="J7" s="2" t="s">
        <v>6</v>
      </c>
    </row>
    <row r="8" spans="2:10" x14ac:dyDescent="0.25">
      <c r="C8" s="242" t="s">
        <v>12</v>
      </c>
      <c r="D8" s="1" t="s">
        <v>1</v>
      </c>
      <c r="E8" s="130"/>
      <c r="F8" s="131"/>
      <c r="G8" s="131">
        <v>16</v>
      </c>
      <c r="H8" s="131">
        <v>33.75</v>
      </c>
      <c r="I8" s="131"/>
      <c r="J8" s="132"/>
    </row>
    <row r="9" spans="2:10" x14ac:dyDescent="0.25">
      <c r="C9" s="242"/>
      <c r="D9" s="2" t="s">
        <v>7</v>
      </c>
      <c r="E9" s="133">
        <v>9.9990000000000006</v>
      </c>
      <c r="F9" s="134">
        <v>25.5</v>
      </c>
      <c r="G9" s="134"/>
      <c r="H9" s="134">
        <v>26.167000000000002</v>
      </c>
      <c r="I9" s="134">
        <v>39.167000000000002</v>
      </c>
      <c r="J9" s="135"/>
    </row>
    <row r="10" spans="2:10" x14ac:dyDescent="0.25">
      <c r="C10" s="242"/>
      <c r="D10" s="2" t="s">
        <v>8</v>
      </c>
      <c r="E10" s="133">
        <v>6.5839999999999996</v>
      </c>
      <c r="F10" s="134">
        <v>21.167000000000002</v>
      </c>
      <c r="G10" s="134">
        <v>16.5</v>
      </c>
      <c r="H10" s="134"/>
      <c r="I10" s="134"/>
      <c r="J10" s="135"/>
    </row>
    <row r="11" spans="2:10" x14ac:dyDescent="0.25">
      <c r="C11" s="242"/>
      <c r="D11" s="2" t="s">
        <v>9</v>
      </c>
      <c r="E11" s="133">
        <v>0</v>
      </c>
      <c r="F11" s="134">
        <v>6.5</v>
      </c>
      <c r="G11" s="134"/>
      <c r="H11" s="134"/>
      <c r="I11" s="134"/>
      <c r="J11" s="135"/>
    </row>
    <row r="12" spans="2:10" x14ac:dyDescent="0.25">
      <c r="C12" s="242"/>
      <c r="D12" s="2" t="s">
        <v>10</v>
      </c>
      <c r="E12" s="133"/>
      <c r="F12" s="134">
        <v>14.917</v>
      </c>
      <c r="G12" s="134"/>
      <c r="H12" s="134"/>
      <c r="I12" s="134"/>
      <c r="J12" s="135"/>
    </row>
    <row r="13" spans="2:10" ht="15.75" thickBot="1" x14ac:dyDescent="0.3">
      <c r="C13" s="242"/>
      <c r="D13" s="2" t="s">
        <v>11</v>
      </c>
      <c r="E13" s="136">
        <v>1.417</v>
      </c>
      <c r="F13" s="137"/>
      <c r="G13" s="137"/>
      <c r="H13" s="137"/>
      <c r="I13" s="137"/>
      <c r="J13" s="138"/>
    </row>
    <row r="17" spans="2:11" ht="14.45" x14ac:dyDescent="0.3">
      <c r="E17" s="241" t="s">
        <v>14</v>
      </c>
      <c r="F17" s="241"/>
      <c r="G17" s="241"/>
      <c r="H17" s="241"/>
      <c r="I17" s="241"/>
      <c r="J17" s="241"/>
    </row>
    <row r="18" spans="2:11" ht="15.75" thickBot="1" x14ac:dyDescent="0.3">
      <c r="E18" s="1" t="s">
        <v>1</v>
      </c>
      <c r="F18" s="2" t="s">
        <v>2</v>
      </c>
      <c r="G18" s="2" t="s">
        <v>3</v>
      </c>
      <c r="H18" s="2" t="s">
        <v>4</v>
      </c>
      <c r="I18" s="2" t="s">
        <v>5</v>
      </c>
      <c r="J18" s="2" t="s">
        <v>6</v>
      </c>
      <c r="K18" s="198" t="s">
        <v>175</v>
      </c>
    </row>
    <row r="19" spans="2:11" x14ac:dyDescent="0.25">
      <c r="C19" s="242" t="s">
        <v>12</v>
      </c>
      <c r="D19" s="1" t="s">
        <v>1</v>
      </c>
      <c r="E19" s="202"/>
      <c r="F19" s="120"/>
      <c r="G19" s="120">
        <v>1</v>
      </c>
      <c r="H19" s="120">
        <v>1</v>
      </c>
      <c r="I19" s="120"/>
      <c r="J19" s="121"/>
      <c r="K19" s="199">
        <v>-4.2499999999999996E-2</v>
      </c>
    </row>
    <row r="20" spans="2:11" x14ac:dyDescent="0.25">
      <c r="C20" s="242"/>
      <c r="D20" s="2" t="s">
        <v>7</v>
      </c>
      <c r="E20" s="143">
        <v>7</v>
      </c>
      <c r="F20" s="124">
        <v>3</v>
      </c>
      <c r="G20" s="124"/>
      <c r="H20" s="124">
        <v>1</v>
      </c>
      <c r="I20" s="124">
        <v>1</v>
      </c>
      <c r="J20" s="125"/>
      <c r="K20" s="199">
        <v>-6.7500000000000004E-2</v>
      </c>
    </row>
    <row r="21" spans="2:11" x14ac:dyDescent="0.25">
      <c r="C21" s="242"/>
      <c r="D21" s="2" t="s">
        <v>8</v>
      </c>
      <c r="E21" s="143">
        <v>3</v>
      </c>
      <c r="F21" s="124">
        <v>2</v>
      </c>
      <c r="G21" s="124">
        <v>1</v>
      </c>
      <c r="H21" s="124"/>
      <c r="I21" s="124"/>
      <c r="J21" s="125"/>
      <c r="K21" s="199">
        <v>-9.2499999999999999E-2</v>
      </c>
    </row>
    <row r="22" spans="2:11" x14ac:dyDescent="0.25">
      <c r="C22" s="242"/>
      <c r="D22" s="2" t="s">
        <v>9</v>
      </c>
      <c r="E22" s="143">
        <v>1</v>
      </c>
      <c r="F22" s="124">
        <v>1</v>
      </c>
      <c r="G22" s="124"/>
      <c r="H22" s="124"/>
      <c r="I22" s="124"/>
      <c r="J22" s="125"/>
      <c r="K22" s="199">
        <v>-0.11750000000000001</v>
      </c>
    </row>
    <row r="23" spans="2:11" x14ac:dyDescent="0.25">
      <c r="C23" s="242"/>
      <c r="D23" s="2" t="s">
        <v>10</v>
      </c>
      <c r="E23" s="143"/>
      <c r="F23" s="124">
        <v>1</v>
      </c>
      <c r="G23" s="124"/>
      <c r="H23" s="124"/>
      <c r="I23" s="124"/>
      <c r="J23" s="125"/>
      <c r="K23" s="199">
        <v>-0.14250000000000002</v>
      </c>
    </row>
    <row r="24" spans="2:11" ht="15.75" thickBot="1" x14ac:dyDescent="0.3">
      <c r="C24" s="242"/>
      <c r="D24" s="2" t="s">
        <v>11</v>
      </c>
      <c r="E24" s="127">
        <v>1</v>
      </c>
      <c r="F24" s="128"/>
      <c r="G24" s="128"/>
      <c r="H24" s="128"/>
      <c r="I24" s="128"/>
      <c r="J24" s="129"/>
      <c r="K24" s="199">
        <v>-0.18625</v>
      </c>
    </row>
    <row r="25" spans="2:11" x14ac:dyDescent="0.25">
      <c r="D25" s="194" t="s">
        <v>173</v>
      </c>
      <c r="E25" s="195">
        <v>4.5</v>
      </c>
      <c r="F25" s="195">
        <v>2.2000000000000002</v>
      </c>
      <c r="G25" s="195">
        <v>1.6</v>
      </c>
      <c r="H25" s="195">
        <v>1.3</v>
      </c>
      <c r="I25" s="195">
        <v>1.1000000000000001</v>
      </c>
      <c r="J25" s="195">
        <v>0.9</v>
      </c>
      <c r="K25" s="152"/>
    </row>
    <row r="26" spans="2:11" x14ac:dyDescent="0.25">
      <c r="K26" s="152"/>
    </row>
    <row r="27" spans="2:11" x14ac:dyDescent="0.25">
      <c r="K27" s="152"/>
    </row>
    <row r="28" spans="2:11" x14ac:dyDescent="0.25">
      <c r="K28" s="152"/>
    </row>
    <row r="29" spans="2:11" ht="15.75" x14ac:dyDescent="0.25">
      <c r="B29" s="239" t="s">
        <v>16</v>
      </c>
      <c r="C29" s="239"/>
      <c r="D29" s="239"/>
      <c r="E29" s="239"/>
      <c r="F29" s="239"/>
      <c r="G29" s="239"/>
      <c r="H29" s="239"/>
      <c r="I29" s="239"/>
      <c r="J29" s="239"/>
      <c r="K29" s="152"/>
    </row>
    <row r="30" spans="2:11" x14ac:dyDescent="0.25">
      <c r="K30" s="152"/>
    </row>
    <row r="31" spans="2:11" x14ac:dyDescent="0.25">
      <c r="E31" s="241" t="s">
        <v>15</v>
      </c>
      <c r="F31" s="241"/>
      <c r="G31" s="241"/>
      <c r="H31" s="241"/>
      <c r="I31" s="241"/>
      <c r="J31" s="241"/>
      <c r="K31" s="152"/>
    </row>
    <row r="32" spans="2:11" ht="15.75" thickBot="1" x14ac:dyDescent="0.3">
      <c r="E32" s="1" t="s">
        <v>20</v>
      </c>
      <c r="F32" s="2" t="s">
        <v>21</v>
      </c>
      <c r="G32" s="2" t="s">
        <v>22</v>
      </c>
      <c r="H32" s="2" t="s">
        <v>23</v>
      </c>
      <c r="I32" s="2" t="s">
        <v>24</v>
      </c>
      <c r="J32" s="2" t="s">
        <v>25</v>
      </c>
      <c r="K32" s="152"/>
    </row>
    <row r="33" spans="3:11" ht="15" customHeight="1" x14ac:dyDescent="0.25">
      <c r="C33" s="242" t="s">
        <v>12</v>
      </c>
      <c r="D33" s="1" t="s">
        <v>1</v>
      </c>
      <c r="E33" s="130"/>
      <c r="F33" s="131"/>
      <c r="G33" s="131"/>
      <c r="H33" s="131"/>
      <c r="I33" s="131"/>
      <c r="J33" s="132"/>
      <c r="K33" s="152"/>
    </row>
    <row r="34" spans="3:11" x14ac:dyDescent="0.25">
      <c r="C34" s="242"/>
      <c r="D34" s="2" t="s">
        <v>7</v>
      </c>
      <c r="E34" s="133"/>
      <c r="F34" s="134"/>
      <c r="G34" s="134"/>
      <c r="H34" s="134"/>
      <c r="I34" s="134"/>
      <c r="J34" s="135"/>
      <c r="K34" s="152"/>
    </row>
    <row r="35" spans="3:11" x14ac:dyDescent="0.25">
      <c r="C35" s="242"/>
      <c r="D35" s="2" t="s">
        <v>8</v>
      </c>
      <c r="E35" s="133"/>
      <c r="F35" s="134"/>
      <c r="G35" s="134"/>
      <c r="H35" s="134"/>
      <c r="I35" s="134"/>
      <c r="J35" s="135"/>
      <c r="K35" s="152"/>
    </row>
    <row r="36" spans="3:11" x14ac:dyDescent="0.25">
      <c r="C36" s="242"/>
      <c r="D36" s="2" t="s">
        <v>9</v>
      </c>
      <c r="E36" s="133"/>
      <c r="F36" s="134"/>
      <c r="G36" s="134"/>
      <c r="H36" s="134"/>
      <c r="I36" s="134"/>
      <c r="J36" s="135"/>
      <c r="K36" s="152"/>
    </row>
    <row r="37" spans="3:11" x14ac:dyDescent="0.25">
      <c r="C37" s="242"/>
      <c r="D37" s="2" t="s">
        <v>10</v>
      </c>
      <c r="E37" s="133"/>
      <c r="F37" s="134"/>
      <c r="G37" s="134"/>
      <c r="H37" s="134"/>
      <c r="I37" s="134"/>
      <c r="J37" s="135"/>
      <c r="K37" s="152"/>
    </row>
    <row r="38" spans="3:11" ht="15.75" thickBot="1" x14ac:dyDescent="0.3">
      <c r="C38" s="242"/>
      <c r="D38" s="2" t="s">
        <v>11</v>
      </c>
      <c r="E38" s="136"/>
      <c r="F38" s="137"/>
      <c r="G38" s="137"/>
      <c r="H38" s="137"/>
      <c r="I38" s="137"/>
      <c r="J38" s="138"/>
      <c r="K38" s="152"/>
    </row>
    <row r="39" spans="3:11" x14ac:dyDescent="0.25">
      <c r="K39" s="152"/>
    </row>
    <row r="40" spans="3:11" x14ac:dyDescent="0.25">
      <c r="K40" s="152"/>
    </row>
    <row r="41" spans="3:11" x14ac:dyDescent="0.25">
      <c r="K41" s="152"/>
    </row>
    <row r="42" spans="3:11" x14ac:dyDescent="0.25">
      <c r="E42" s="241" t="s">
        <v>14</v>
      </c>
      <c r="F42" s="241"/>
      <c r="G42" s="241"/>
      <c r="H42" s="241"/>
      <c r="I42" s="241"/>
      <c r="J42" s="241"/>
      <c r="K42" s="152"/>
    </row>
    <row r="43" spans="3:11" ht="15.75" thickBot="1" x14ac:dyDescent="0.3">
      <c r="E43" s="1" t="s">
        <v>20</v>
      </c>
      <c r="F43" s="2" t="s">
        <v>21</v>
      </c>
      <c r="G43" s="2" t="s">
        <v>22</v>
      </c>
      <c r="H43" s="2" t="s">
        <v>23</v>
      </c>
      <c r="I43" s="2" t="s">
        <v>24</v>
      </c>
      <c r="J43" s="2" t="s">
        <v>25</v>
      </c>
      <c r="K43" s="198" t="s">
        <v>175</v>
      </c>
    </row>
    <row r="44" spans="3:11" ht="15" customHeight="1" x14ac:dyDescent="0.25">
      <c r="C44" s="242" t="s">
        <v>12</v>
      </c>
      <c r="D44" s="1" t="s">
        <v>1</v>
      </c>
      <c r="E44" s="118"/>
      <c r="F44" s="120"/>
      <c r="G44" s="120"/>
      <c r="H44" s="120"/>
      <c r="I44" s="120"/>
      <c r="J44" s="121"/>
      <c r="K44" s="199">
        <v>-4.2499999999999996E-2</v>
      </c>
    </row>
    <row r="45" spans="3:11" x14ac:dyDescent="0.25">
      <c r="C45" s="242"/>
      <c r="D45" s="2" t="s">
        <v>7</v>
      </c>
      <c r="E45" s="126"/>
      <c r="F45" s="124"/>
      <c r="G45" s="124"/>
      <c r="H45" s="124"/>
      <c r="I45" s="124"/>
      <c r="J45" s="125"/>
      <c r="K45" s="199">
        <v>-6.7500000000000004E-2</v>
      </c>
    </row>
    <row r="46" spans="3:11" x14ac:dyDescent="0.25">
      <c r="C46" s="242"/>
      <c r="D46" s="2" t="s">
        <v>8</v>
      </c>
      <c r="E46" s="143"/>
      <c r="F46" s="124"/>
      <c r="G46" s="124"/>
      <c r="H46" s="124"/>
      <c r="I46" s="124"/>
      <c r="J46" s="125"/>
      <c r="K46" s="199">
        <v>-9.2499999999999999E-2</v>
      </c>
    </row>
    <row r="47" spans="3:11" x14ac:dyDescent="0.25">
      <c r="C47" s="242"/>
      <c r="D47" s="2" t="s">
        <v>9</v>
      </c>
      <c r="E47" s="143"/>
      <c r="F47" s="124"/>
      <c r="G47" s="124"/>
      <c r="H47" s="124"/>
      <c r="I47" s="124"/>
      <c r="J47" s="125"/>
      <c r="K47" s="199">
        <v>-0.11750000000000001</v>
      </c>
    </row>
    <row r="48" spans="3:11" x14ac:dyDescent="0.25">
      <c r="C48" s="242"/>
      <c r="D48" s="2" t="s">
        <v>10</v>
      </c>
      <c r="E48" s="143"/>
      <c r="F48" s="124"/>
      <c r="G48" s="124"/>
      <c r="H48" s="124"/>
      <c r="I48" s="124"/>
      <c r="J48" s="125"/>
      <c r="K48" s="199">
        <v>-0.14250000000000002</v>
      </c>
    </row>
    <row r="49" spans="2:11" ht="15.75" thickBot="1" x14ac:dyDescent="0.3">
      <c r="C49" s="242"/>
      <c r="D49" s="2" t="s">
        <v>11</v>
      </c>
      <c r="E49" s="127"/>
      <c r="F49" s="128"/>
      <c r="G49" s="128"/>
      <c r="H49" s="128"/>
      <c r="I49" s="128"/>
      <c r="J49" s="129"/>
      <c r="K49" s="199">
        <v>-0.18625</v>
      </c>
    </row>
    <row r="50" spans="2:11" x14ac:dyDescent="0.25">
      <c r="D50" s="194" t="s">
        <v>173</v>
      </c>
      <c r="E50" s="195">
        <v>6.5</v>
      </c>
      <c r="F50" s="195">
        <v>3.8</v>
      </c>
      <c r="G50" s="195">
        <v>2.9</v>
      </c>
      <c r="H50" s="195">
        <v>2.5</v>
      </c>
      <c r="I50" s="195">
        <v>2.2000000000000002</v>
      </c>
      <c r="J50" s="195">
        <v>1.9</v>
      </c>
      <c r="K50" s="152"/>
    </row>
    <row r="51" spans="2:11" x14ac:dyDescent="0.25">
      <c r="K51" s="152"/>
    </row>
    <row r="52" spans="2:11" x14ac:dyDescent="0.25">
      <c r="K52" s="152"/>
    </row>
    <row r="53" spans="2:11" x14ac:dyDescent="0.25">
      <c r="K53" s="152"/>
    </row>
    <row r="54" spans="2:11" ht="15.75" x14ac:dyDescent="0.25">
      <c r="B54" s="239" t="s">
        <v>17</v>
      </c>
      <c r="C54" s="239"/>
      <c r="D54" s="239"/>
      <c r="E54" s="239"/>
      <c r="F54" s="239"/>
      <c r="G54" s="239"/>
      <c r="H54" s="239"/>
      <c r="I54" s="239"/>
      <c r="J54" s="239"/>
      <c r="K54" s="152"/>
    </row>
    <row r="55" spans="2:11" x14ac:dyDescent="0.25">
      <c r="B55" s="152"/>
      <c r="C55" s="152"/>
      <c r="D55" s="152"/>
      <c r="E55" s="152"/>
      <c r="F55" s="152"/>
      <c r="G55" s="152"/>
      <c r="H55" s="152"/>
      <c r="I55" s="152"/>
      <c r="J55" s="152"/>
      <c r="K55" s="152"/>
    </row>
    <row r="56" spans="2:11" x14ac:dyDescent="0.25">
      <c r="B56" s="152"/>
      <c r="C56" s="152"/>
      <c r="D56" s="152"/>
      <c r="E56" s="238" t="s">
        <v>152</v>
      </c>
      <c r="F56" s="238"/>
      <c r="G56" s="238"/>
      <c r="H56" s="238"/>
      <c r="I56" s="238"/>
      <c r="J56" s="238"/>
      <c r="K56" s="152"/>
    </row>
    <row r="57" spans="2:11" ht="15.75" thickBot="1" x14ac:dyDescent="0.3">
      <c r="B57" s="152"/>
      <c r="C57" s="152"/>
      <c r="D57" s="152"/>
      <c r="E57" s="153" t="s">
        <v>26</v>
      </c>
      <c r="F57" s="154" t="s">
        <v>27</v>
      </c>
      <c r="G57" s="154" t="s">
        <v>28</v>
      </c>
      <c r="H57" s="154" t="s">
        <v>29</v>
      </c>
      <c r="I57" s="154" t="s">
        <v>30</v>
      </c>
      <c r="J57" s="154" t="s">
        <v>31</v>
      </c>
      <c r="K57" s="152"/>
    </row>
    <row r="58" spans="2:11" ht="15" customHeight="1" x14ac:dyDescent="0.25">
      <c r="B58" s="152"/>
      <c r="C58" s="237" t="s">
        <v>12</v>
      </c>
      <c r="D58" s="153" t="s">
        <v>1</v>
      </c>
      <c r="E58" s="130"/>
      <c r="F58" s="131"/>
      <c r="G58" s="131"/>
      <c r="H58" s="131"/>
      <c r="I58" s="131"/>
      <c r="J58" s="132"/>
      <c r="K58" s="152"/>
    </row>
    <row r="59" spans="2:11" x14ac:dyDescent="0.25">
      <c r="B59" s="152"/>
      <c r="C59" s="237"/>
      <c r="D59" s="154" t="s">
        <v>7</v>
      </c>
      <c r="E59" s="133"/>
      <c r="F59" s="134"/>
      <c r="G59" s="134"/>
      <c r="H59" s="134"/>
      <c r="I59" s="134"/>
      <c r="J59" s="135"/>
      <c r="K59" s="152"/>
    </row>
    <row r="60" spans="2:11" x14ac:dyDescent="0.25">
      <c r="B60" s="152"/>
      <c r="C60" s="237"/>
      <c r="D60" s="154" t="s">
        <v>8</v>
      </c>
      <c r="E60" s="133"/>
      <c r="F60" s="134"/>
      <c r="G60" s="134"/>
      <c r="H60" s="134"/>
      <c r="I60" s="134"/>
      <c r="J60" s="135"/>
      <c r="K60" s="152"/>
    </row>
    <row r="61" spans="2:11" x14ac:dyDescent="0.25">
      <c r="B61" s="152"/>
      <c r="C61" s="237"/>
      <c r="D61" s="154" t="s">
        <v>9</v>
      </c>
      <c r="E61" s="133"/>
      <c r="F61" s="134"/>
      <c r="G61" s="134"/>
      <c r="H61" s="134"/>
      <c r="I61" s="134"/>
      <c r="J61" s="135"/>
      <c r="K61" s="152"/>
    </row>
    <row r="62" spans="2:11" x14ac:dyDescent="0.25">
      <c r="B62" s="152"/>
      <c r="C62" s="237"/>
      <c r="D62" s="154" t="s">
        <v>10</v>
      </c>
      <c r="E62" s="133"/>
      <c r="F62" s="134"/>
      <c r="G62" s="134"/>
      <c r="H62" s="134"/>
      <c r="I62" s="134"/>
      <c r="J62" s="135"/>
      <c r="K62" s="152"/>
    </row>
    <row r="63" spans="2:11" ht="15.75" thickBot="1" x14ac:dyDescent="0.3">
      <c r="B63" s="152"/>
      <c r="C63" s="237"/>
      <c r="D63" s="154" t="s">
        <v>11</v>
      </c>
      <c r="E63" s="136"/>
      <c r="F63" s="137"/>
      <c r="G63" s="137"/>
      <c r="H63" s="137"/>
      <c r="I63" s="137"/>
      <c r="J63" s="138"/>
      <c r="K63" s="152"/>
    </row>
    <row r="64" spans="2:11" x14ac:dyDescent="0.25">
      <c r="B64" s="152"/>
      <c r="C64" s="152"/>
      <c r="D64" s="152"/>
      <c r="E64" s="152"/>
      <c r="F64" s="152"/>
      <c r="G64" s="152"/>
      <c r="H64" s="152"/>
      <c r="I64" s="152"/>
      <c r="J64" s="152"/>
      <c r="K64" s="152"/>
    </row>
    <row r="65" spans="2:11" x14ac:dyDescent="0.25">
      <c r="B65" s="152"/>
      <c r="C65" s="152"/>
      <c r="D65" s="152"/>
      <c r="E65" s="152"/>
      <c r="F65" s="152"/>
      <c r="G65" s="152"/>
      <c r="H65" s="152"/>
      <c r="I65" s="152"/>
      <c r="J65" s="152"/>
      <c r="K65" s="152"/>
    </row>
    <row r="66" spans="2:11" x14ac:dyDescent="0.25">
      <c r="B66" s="152"/>
      <c r="C66" s="152"/>
      <c r="D66" s="152"/>
      <c r="E66" s="152"/>
      <c r="F66" s="152"/>
      <c r="G66" s="152"/>
      <c r="H66" s="152"/>
      <c r="I66" s="152"/>
      <c r="J66" s="152"/>
      <c r="K66" s="152"/>
    </row>
    <row r="67" spans="2:11" x14ac:dyDescent="0.25">
      <c r="B67" s="152"/>
      <c r="C67" s="152"/>
      <c r="D67" s="152"/>
      <c r="E67" s="238" t="s">
        <v>14</v>
      </c>
      <c r="F67" s="238"/>
      <c r="G67" s="238"/>
      <c r="H67" s="238"/>
      <c r="I67" s="238"/>
      <c r="J67" s="238"/>
      <c r="K67" s="152"/>
    </row>
    <row r="68" spans="2:11" ht="15.75" thickBot="1" x14ac:dyDescent="0.3">
      <c r="B68" s="152"/>
      <c r="C68" s="152"/>
      <c r="D68" s="152"/>
      <c r="E68" s="153" t="s">
        <v>26</v>
      </c>
      <c r="F68" s="154" t="s">
        <v>27</v>
      </c>
      <c r="G68" s="154" t="s">
        <v>28</v>
      </c>
      <c r="H68" s="154" t="s">
        <v>29</v>
      </c>
      <c r="I68" s="154" t="s">
        <v>30</v>
      </c>
      <c r="J68" s="154" t="s">
        <v>31</v>
      </c>
      <c r="K68" s="198" t="s">
        <v>175</v>
      </c>
    </row>
    <row r="69" spans="2:11" ht="15" customHeight="1" x14ac:dyDescent="0.25">
      <c r="B69" s="152"/>
      <c r="C69" s="237" t="s">
        <v>12</v>
      </c>
      <c r="D69" s="153" t="s">
        <v>1</v>
      </c>
      <c r="E69" s="118"/>
      <c r="F69" s="119"/>
      <c r="G69" s="120"/>
      <c r="H69" s="120"/>
      <c r="I69" s="120"/>
      <c r="J69" s="121"/>
      <c r="K69" s="199">
        <v>-2.2499999999999999E-2</v>
      </c>
    </row>
    <row r="70" spans="2:11" x14ac:dyDescent="0.25">
      <c r="B70" s="152"/>
      <c r="C70" s="237"/>
      <c r="D70" s="154" t="s">
        <v>7</v>
      </c>
      <c r="E70" s="122"/>
      <c r="F70" s="123"/>
      <c r="G70" s="124"/>
      <c r="H70" s="124"/>
      <c r="I70" s="124"/>
      <c r="J70" s="125"/>
      <c r="K70" s="199">
        <v>-4.7500000000000001E-2</v>
      </c>
    </row>
    <row r="71" spans="2:11" x14ac:dyDescent="0.25">
      <c r="B71" s="152"/>
      <c r="C71" s="237"/>
      <c r="D71" s="154" t="s">
        <v>8</v>
      </c>
      <c r="E71" s="126"/>
      <c r="F71" s="124"/>
      <c r="G71" s="124"/>
      <c r="H71" s="124"/>
      <c r="I71" s="124"/>
      <c r="J71" s="125"/>
      <c r="K71" s="199">
        <v>-7.2499999999999995E-2</v>
      </c>
    </row>
    <row r="72" spans="2:11" x14ac:dyDescent="0.25">
      <c r="B72" s="152"/>
      <c r="C72" s="237"/>
      <c r="D72" s="154" t="s">
        <v>9</v>
      </c>
      <c r="E72" s="143"/>
      <c r="F72" s="124"/>
      <c r="G72" s="124"/>
      <c r="H72" s="124"/>
      <c r="I72" s="124"/>
      <c r="J72" s="125"/>
      <c r="K72" s="199">
        <v>-9.7500000000000003E-2</v>
      </c>
    </row>
    <row r="73" spans="2:11" x14ac:dyDescent="0.25">
      <c r="B73" s="152"/>
      <c r="C73" s="237"/>
      <c r="D73" s="154" t="s">
        <v>10</v>
      </c>
      <c r="E73" s="143"/>
      <c r="F73" s="124"/>
      <c r="G73" s="124"/>
      <c r="H73" s="124"/>
      <c r="I73" s="124"/>
      <c r="J73" s="125"/>
      <c r="K73" s="199">
        <v>-0.1225</v>
      </c>
    </row>
    <row r="74" spans="2:11" ht="15.75" thickBot="1" x14ac:dyDescent="0.3">
      <c r="B74" s="152"/>
      <c r="C74" s="237"/>
      <c r="D74" s="154" t="s">
        <v>11</v>
      </c>
      <c r="E74" s="127"/>
      <c r="F74" s="128"/>
      <c r="G74" s="128"/>
      <c r="H74" s="128"/>
      <c r="I74" s="128"/>
      <c r="J74" s="129"/>
      <c r="K74" s="199">
        <v>-0.16625000000000001</v>
      </c>
    </row>
    <row r="75" spans="2:11" x14ac:dyDescent="0.25">
      <c r="B75" s="152"/>
      <c r="C75" s="152"/>
      <c r="D75" s="194" t="s">
        <v>173</v>
      </c>
      <c r="E75" s="195">
        <v>10.7</v>
      </c>
      <c r="F75" s="195">
        <v>6.2</v>
      </c>
      <c r="G75" s="195">
        <v>4.8</v>
      </c>
      <c r="H75" s="195">
        <v>4.0999999999999996</v>
      </c>
      <c r="I75" s="195">
        <v>3.6</v>
      </c>
      <c r="J75" s="195">
        <v>3.1</v>
      </c>
      <c r="K75" s="152"/>
    </row>
    <row r="76" spans="2:11" x14ac:dyDescent="0.25">
      <c r="B76" s="152"/>
      <c r="C76" s="152"/>
      <c r="D76" s="152"/>
      <c r="E76" s="152"/>
      <c r="F76" s="152"/>
      <c r="G76" s="152"/>
      <c r="H76" s="152"/>
      <c r="I76" s="152"/>
      <c r="J76" s="152"/>
      <c r="K76" s="152"/>
    </row>
    <row r="77" spans="2:11" x14ac:dyDescent="0.25">
      <c r="B77" s="152"/>
      <c r="C77" s="152"/>
      <c r="D77" s="152"/>
      <c r="E77" s="152"/>
      <c r="F77" s="152"/>
      <c r="G77" s="152"/>
      <c r="H77" s="152"/>
      <c r="I77" s="152"/>
      <c r="J77" s="152"/>
      <c r="K77" s="152"/>
    </row>
    <row r="78" spans="2:11" x14ac:dyDescent="0.25">
      <c r="B78" s="152"/>
      <c r="C78" s="152"/>
      <c r="D78" s="152"/>
      <c r="E78" s="152"/>
      <c r="F78" s="152"/>
      <c r="G78" s="152"/>
      <c r="H78" s="152"/>
      <c r="I78" s="152"/>
      <c r="J78" s="152"/>
      <c r="K78" s="152"/>
    </row>
    <row r="79" spans="2:11" ht="15.75" x14ac:dyDescent="0.25">
      <c r="B79" s="239" t="s">
        <v>18</v>
      </c>
      <c r="C79" s="239"/>
      <c r="D79" s="239"/>
      <c r="E79" s="239"/>
      <c r="F79" s="239"/>
      <c r="G79" s="239"/>
      <c r="H79" s="239"/>
      <c r="I79" s="239"/>
      <c r="J79" s="239"/>
      <c r="K79" s="152"/>
    </row>
    <row r="80" spans="2:11" x14ac:dyDescent="0.25">
      <c r="B80" s="152"/>
      <c r="C80" s="152"/>
      <c r="D80" s="152"/>
      <c r="E80" s="152"/>
      <c r="F80" s="152"/>
      <c r="G80" s="152"/>
      <c r="H80" s="152"/>
      <c r="I80" s="152"/>
      <c r="J80" s="152"/>
      <c r="K80" s="152"/>
    </row>
    <row r="81" spans="2:11" x14ac:dyDescent="0.25">
      <c r="B81" s="152"/>
      <c r="C81" s="152"/>
      <c r="D81" s="152"/>
      <c r="E81" s="238" t="s">
        <v>152</v>
      </c>
      <c r="F81" s="238"/>
      <c r="G81" s="238"/>
      <c r="H81" s="238"/>
      <c r="I81" s="238"/>
      <c r="J81" s="238"/>
      <c r="K81" s="152"/>
    </row>
    <row r="82" spans="2:11" ht="15.75" thickBot="1" x14ac:dyDescent="0.3">
      <c r="B82" s="152"/>
      <c r="C82" s="152"/>
      <c r="D82" s="152"/>
      <c r="E82" s="153" t="s">
        <v>32</v>
      </c>
      <c r="F82" s="154" t="s">
        <v>33</v>
      </c>
      <c r="G82" s="154" t="s">
        <v>34</v>
      </c>
      <c r="H82" s="154" t="s">
        <v>35</v>
      </c>
      <c r="I82" s="154" t="s">
        <v>36</v>
      </c>
      <c r="J82" s="154" t="s">
        <v>37</v>
      </c>
      <c r="K82" s="152"/>
    </row>
    <row r="83" spans="2:11" ht="15" customHeight="1" x14ac:dyDescent="0.25">
      <c r="B83" s="152"/>
      <c r="C83" s="237" t="s">
        <v>12</v>
      </c>
      <c r="D83" s="153" t="s">
        <v>1</v>
      </c>
      <c r="E83" s="130"/>
      <c r="F83" s="131"/>
      <c r="G83" s="131"/>
      <c r="H83" s="131"/>
      <c r="I83" s="131"/>
      <c r="J83" s="132"/>
      <c r="K83" s="152"/>
    </row>
    <row r="84" spans="2:11" x14ac:dyDescent="0.25">
      <c r="B84" s="152"/>
      <c r="C84" s="237"/>
      <c r="D84" s="154" t="s">
        <v>7</v>
      </c>
      <c r="E84" s="133"/>
      <c r="F84" s="134"/>
      <c r="G84" s="134"/>
      <c r="H84" s="134"/>
      <c r="I84" s="134"/>
      <c r="J84" s="135"/>
      <c r="K84" s="152"/>
    </row>
    <row r="85" spans="2:11" x14ac:dyDescent="0.25">
      <c r="B85" s="152"/>
      <c r="C85" s="237"/>
      <c r="D85" s="154" t="s">
        <v>8</v>
      </c>
      <c r="E85" s="133"/>
      <c r="F85" s="134"/>
      <c r="G85" s="134"/>
      <c r="H85" s="134"/>
      <c r="I85" s="134"/>
      <c r="J85" s="135"/>
      <c r="K85" s="152"/>
    </row>
    <row r="86" spans="2:11" x14ac:dyDescent="0.25">
      <c r="B86" s="152"/>
      <c r="C86" s="237"/>
      <c r="D86" s="154" t="s">
        <v>9</v>
      </c>
      <c r="E86" s="133"/>
      <c r="F86" s="134"/>
      <c r="G86" s="134"/>
      <c r="H86" s="134"/>
      <c r="I86" s="134"/>
      <c r="J86" s="135"/>
      <c r="K86" s="152"/>
    </row>
    <row r="87" spans="2:11" x14ac:dyDescent="0.25">
      <c r="B87" s="152"/>
      <c r="C87" s="237"/>
      <c r="D87" s="154" t="s">
        <v>10</v>
      </c>
      <c r="E87" s="133"/>
      <c r="F87" s="134"/>
      <c r="G87" s="134"/>
      <c r="H87" s="134"/>
      <c r="I87" s="134"/>
      <c r="J87" s="135"/>
      <c r="K87" s="152"/>
    </row>
    <row r="88" spans="2:11" ht="15.75" thickBot="1" x14ac:dyDescent="0.3">
      <c r="B88" s="152"/>
      <c r="C88" s="237"/>
      <c r="D88" s="154" t="s">
        <v>11</v>
      </c>
      <c r="E88" s="136"/>
      <c r="F88" s="137"/>
      <c r="G88" s="137"/>
      <c r="H88" s="137"/>
      <c r="I88" s="137"/>
      <c r="J88" s="138"/>
      <c r="K88" s="152"/>
    </row>
    <row r="89" spans="2:11" x14ac:dyDescent="0.25">
      <c r="B89" s="152"/>
      <c r="C89" s="152"/>
      <c r="D89" s="152"/>
      <c r="E89" s="152"/>
      <c r="F89" s="152"/>
      <c r="G89" s="152"/>
      <c r="H89" s="152"/>
      <c r="I89" s="152"/>
      <c r="J89" s="152"/>
      <c r="K89" s="152"/>
    </row>
    <row r="90" spans="2:11" x14ac:dyDescent="0.25">
      <c r="B90" s="152"/>
      <c r="C90" s="152"/>
      <c r="D90" s="152"/>
      <c r="E90" s="152"/>
      <c r="F90" s="152"/>
      <c r="G90" s="152"/>
      <c r="H90" s="152"/>
      <c r="I90" s="152"/>
      <c r="J90" s="152"/>
      <c r="K90" s="152"/>
    </row>
    <row r="91" spans="2:11" x14ac:dyDescent="0.25">
      <c r="B91" s="152"/>
      <c r="C91" s="152"/>
      <c r="D91" s="152"/>
      <c r="E91" s="152"/>
      <c r="F91" s="152"/>
      <c r="G91" s="152"/>
      <c r="H91" s="152"/>
      <c r="I91" s="152"/>
      <c r="J91" s="152"/>
      <c r="K91" s="152"/>
    </row>
    <row r="92" spans="2:11" x14ac:dyDescent="0.25">
      <c r="B92" s="152"/>
      <c r="C92" s="152"/>
      <c r="D92" s="152"/>
      <c r="E92" s="238" t="s">
        <v>14</v>
      </c>
      <c r="F92" s="238"/>
      <c r="G92" s="238"/>
      <c r="H92" s="238"/>
      <c r="I92" s="238"/>
      <c r="J92" s="238"/>
      <c r="K92" s="152"/>
    </row>
    <row r="93" spans="2:11" ht="15.75" thickBot="1" x14ac:dyDescent="0.3">
      <c r="B93" s="152"/>
      <c r="C93" s="152"/>
      <c r="D93" s="152"/>
      <c r="E93" s="153" t="s">
        <v>32</v>
      </c>
      <c r="F93" s="154" t="s">
        <v>33</v>
      </c>
      <c r="G93" s="154" t="s">
        <v>34</v>
      </c>
      <c r="H93" s="154" t="s">
        <v>35</v>
      </c>
      <c r="I93" s="154" t="s">
        <v>36</v>
      </c>
      <c r="J93" s="154" t="s">
        <v>37</v>
      </c>
      <c r="K93" s="198" t="s">
        <v>175</v>
      </c>
    </row>
    <row r="94" spans="2:11" ht="15" customHeight="1" x14ac:dyDescent="0.25">
      <c r="B94" s="152"/>
      <c r="C94" s="237" t="s">
        <v>12</v>
      </c>
      <c r="D94" s="153" t="s">
        <v>1</v>
      </c>
      <c r="E94" s="118"/>
      <c r="F94" s="120"/>
      <c r="G94" s="120"/>
      <c r="H94" s="120"/>
      <c r="I94" s="120"/>
      <c r="J94" s="121"/>
      <c r="K94" s="199">
        <v>-2.2499999999999999E-2</v>
      </c>
    </row>
    <row r="95" spans="2:11" x14ac:dyDescent="0.25">
      <c r="B95" s="152"/>
      <c r="C95" s="237"/>
      <c r="D95" s="154" t="s">
        <v>7</v>
      </c>
      <c r="E95" s="126"/>
      <c r="F95" s="124"/>
      <c r="G95" s="124"/>
      <c r="H95" s="124"/>
      <c r="I95" s="124"/>
      <c r="J95" s="125"/>
      <c r="K95" s="199">
        <v>-4.7500000000000001E-2</v>
      </c>
    </row>
    <row r="96" spans="2:11" x14ac:dyDescent="0.25">
      <c r="B96" s="152"/>
      <c r="C96" s="237"/>
      <c r="D96" s="154" t="s">
        <v>8</v>
      </c>
      <c r="E96" s="143"/>
      <c r="F96" s="124"/>
      <c r="G96" s="124"/>
      <c r="H96" s="124"/>
      <c r="I96" s="124"/>
      <c r="J96" s="125"/>
      <c r="K96" s="199">
        <v>-7.2499999999999995E-2</v>
      </c>
    </row>
    <row r="97" spans="2:11" x14ac:dyDescent="0.25">
      <c r="B97" s="152"/>
      <c r="C97" s="237"/>
      <c r="D97" s="154" t="s">
        <v>9</v>
      </c>
      <c r="E97" s="143"/>
      <c r="F97" s="124"/>
      <c r="G97" s="124"/>
      <c r="H97" s="124"/>
      <c r="I97" s="124"/>
      <c r="J97" s="125"/>
      <c r="K97" s="199">
        <v>-9.7500000000000003E-2</v>
      </c>
    </row>
    <row r="98" spans="2:11" x14ac:dyDescent="0.25">
      <c r="B98" s="152"/>
      <c r="C98" s="237"/>
      <c r="D98" s="154" t="s">
        <v>10</v>
      </c>
      <c r="E98" s="143"/>
      <c r="F98" s="124"/>
      <c r="G98" s="124"/>
      <c r="H98" s="124"/>
      <c r="I98" s="124"/>
      <c r="J98" s="125"/>
      <c r="K98" s="199">
        <v>-0.1225</v>
      </c>
    </row>
    <row r="99" spans="2:11" ht="15.75" thickBot="1" x14ac:dyDescent="0.3">
      <c r="B99" s="152"/>
      <c r="C99" s="237"/>
      <c r="D99" s="154" t="s">
        <v>11</v>
      </c>
      <c r="E99" s="127"/>
      <c r="F99" s="128"/>
      <c r="G99" s="128"/>
      <c r="H99" s="128"/>
      <c r="I99" s="128"/>
      <c r="J99" s="129"/>
      <c r="K99" s="199">
        <v>-0.16625000000000001</v>
      </c>
    </row>
    <row r="100" spans="2:11" x14ac:dyDescent="0.25">
      <c r="B100" s="152"/>
      <c r="C100" s="152"/>
      <c r="D100" s="194" t="s">
        <v>173</v>
      </c>
      <c r="E100" s="195">
        <v>7.8</v>
      </c>
      <c r="F100" s="195">
        <v>4.5</v>
      </c>
      <c r="G100" s="195">
        <v>3.5</v>
      </c>
      <c r="H100" s="195">
        <v>3</v>
      </c>
      <c r="I100" s="195">
        <v>2.6</v>
      </c>
      <c r="J100" s="195">
        <v>2.2000000000000002</v>
      </c>
      <c r="K100" s="152"/>
    </row>
    <row r="101" spans="2:11" x14ac:dyDescent="0.25">
      <c r="B101" s="152"/>
      <c r="C101" s="152"/>
      <c r="D101" s="152"/>
      <c r="E101" s="152"/>
      <c r="F101" s="152"/>
      <c r="G101" s="152"/>
      <c r="H101" s="152"/>
      <c r="I101" s="152"/>
      <c r="J101" s="152"/>
      <c r="K101" s="152"/>
    </row>
    <row r="102" spans="2:11" x14ac:dyDescent="0.25">
      <c r="B102" s="152"/>
      <c r="C102" s="152"/>
      <c r="D102" s="152"/>
      <c r="E102" s="152"/>
      <c r="F102" s="152"/>
      <c r="G102" s="152"/>
      <c r="H102" s="152"/>
      <c r="I102" s="152"/>
      <c r="J102" s="152"/>
      <c r="K102" s="152"/>
    </row>
    <row r="103" spans="2:11" x14ac:dyDescent="0.25"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</row>
    <row r="104" spans="2:11" ht="15.75" x14ac:dyDescent="0.25">
      <c r="B104" s="239" t="s">
        <v>19</v>
      </c>
      <c r="C104" s="239"/>
      <c r="D104" s="239"/>
      <c r="E104" s="239"/>
      <c r="F104" s="239"/>
      <c r="G104" s="239"/>
      <c r="H104" s="239"/>
      <c r="I104" s="239"/>
      <c r="J104" s="239"/>
      <c r="K104" s="152"/>
    </row>
    <row r="105" spans="2:11" x14ac:dyDescent="0.25">
      <c r="B105" s="152"/>
      <c r="C105" s="152"/>
      <c r="D105" s="152"/>
      <c r="E105" s="152"/>
      <c r="F105" s="152"/>
      <c r="G105" s="152"/>
      <c r="H105" s="152"/>
      <c r="I105" s="152"/>
      <c r="J105" s="152"/>
      <c r="K105" s="152"/>
    </row>
    <row r="106" spans="2:11" x14ac:dyDescent="0.25">
      <c r="B106" s="152"/>
      <c r="C106" s="152"/>
      <c r="D106" s="152"/>
      <c r="E106" s="238" t="s">
        <v>152</v>
      </c>
      <c r="F106" s="238"/>
      <c r="G106" s="238"/>
      <c r="H106" s="238"/>
      <c r="I106" s="238"/>
      <c r="J106" s="238"/>
      <c r="K106" s="152"/>
    </row>
    <row r="107" spans="2:11" ht="15.75" thickBot="1" x14ac:dyDescent="0.3">
      <c r="B107" s="152"/>
      <c r="C107" s="152"/>
      <c r="D107" s="152"/>
      <c r="E107" s="153" t="s">
        <v>38</v>
      </c>
      <c r="F107" s="154" t="s">
        <v>39</v>
      </c>
      <c r="G107" s="154" t="s">
        <v>40</v>
      </c>
      <c r="H107" s="154" t="s">
        <v>41</v>
      </c>
      <c r="I107" s="154" t="s">
        <v>42</v>
      </c>
      <c r="J107" s="154" t="s">
        <v>43</v>
      </c>
      <c r="K107" s="197"/>
    </row>
    <row r="108" spans="2:11" ht="15" customHeight="1" x14ac:dyDescent="0.25">
      <c r="B108" s="152"/>
      <c r="C108" s="237" t="s">
        <v>12</v>
      </c>
      <c r="D108" s="153" t="s">
        <v>1</v>
      </c>
      <c r="E108" s="130"/>
      <c r="F108" s="131"/>
      <c r="G108" s="131"/>
      <c r="H108" s="131"/>
      <c r="I108" s="131"/>
      <c r="J108" s="132"/>
      <c r="K108" s="196"/>
    </row>
    <row r="109" spans="2:11" x14ac:dyDescent="0.25">
      <c r="B109" s="152"/>
      <c r="C109" s="237"/>
      <c r="D109" s="154" t="s">
        <v>7</v>
      </c>
      <c r="E109" s="133"/>
      <c r="F109" s="134"/>
      <c r="G109" s="134"/>
      <c r="H109" s="134"/>
      <c r="I109" s="134"/>
      <c r="J109" s="135"/>
      <c r="K109" s="196"/>
    </row>
    <row r="110" spans="2:11" x14ac:dyDescent="0.25">
      <c r="B110" s="152"/>
      <c r="C110" s="237"/>
      <c r="D110" s="154" t="s">
        <v>8</v>
      </c>
      <c r="E110" s="133"/>
      <c r="F110" s="134"/>
      <c r="G110" s="134"/>
      <c r="H110" s="134"/>
      <c r="I110" s="134"/>
      <c r="J110" s="135"/>
      <c r="K110" s="196"/>
    </row>
    <row r="111" spans="2:11" x14ac:dyDescent="0.25">
      <c r="B111" s="152"/>
      <c r="C111" s="237"/>
      <c r="D111" s="154" t="s">
        <v>9</v>
      </c>
      <c r="E111" s="133"/>
      <c r="F111" s="134"/>
      <c r="G111" s="134"/>
      <c r="H111" s="134"/>
      <c r="I111" s="134"/>
      <c r="J111" s="135"/>
      <c r="K111" s="196"/>
    </row>
    <row r="112" spans="2:11" x14ac:dyDescent="0.25">
      <c r="B112" s="152"/>
      <c r="C112" s="237"/>
      <c r="D112" s="154" t="s">
        <v>10</v>
      </c>
      <c r="E112" s="133"/>
      <c r="F112" s="134"/>
      <c r="G112" s="134"/>
      <c r="H112" s="134"/>
      <c r="I112" s="134"/>
      <c r="J112" s="135"/>
      <c r="K112" s="196"/>
    </row>
    <row r="113" spans="2:11" ht="15.75" thickBot="1" x14ac:dyDescent="0.3">
      <c r="B113" s="152"/>
      <c r="C113" s="237"/>
      <c r="D113" s="154" t="s">
        <v>11</v>
      </c>
      <c r="E113" s="136"/>
      <c r="F113" s="137"/>
      <c r="G113" s="137"/>
      <c r="H113" s="137"/>
      <c r="I113" s="137"/>
      <c r="J113" s="138"/>
      <c r="K113" s="196"/>
    </row>
    <row r="114" spans="2:11" x14ac:dyDescent="0.25">
      <c r="B114" s="152"/>
      <c r="C114" s="152"/>
      <c r="D114" s="152"/>
      <c r="E114" s="152"/>
      <c r="F114" s="152"/>
      <c r="G114" s="152"/>
      <c r="H114" s="152"/>
      <c r="I114" s="152"/>
      <c r="J114" s="152"/>
      <c r="K114" s="152"/>
    </row>
    <row r="115" spans="2:11" x14ac:dyDescent="0.25">
      <c r="B115" s="152"/>
      <c r="C115" s="152"/>
      <c r="D115" s="152"/>
      <c r="E115" s="152"/>
      <c r="F115" s="152"/>
      <c r="G115" s="152"/>
      <c r="H115" s="152"/>
      <c r="I115" s="152"/>
      <c r="J115" s="152"/>
      <c r="K115" s="152"/>
    </row>
    <row r="116" spans="2:11" x14ac:dyDescent="0.25">
      <c r="B116" s="152"/>
      <c r="C116" s="152"/>
      <c r="D116" s="152"/>
      <c r="E116" s="152"/>
      <c r="F116" s="152"/>
      <c r="G116" s="152"/>
      <c r="H116" s="152"/>
      <c r="I116" s="152"/>
      <c r="J116" s="152"/>
      <c r="K116" s="152"/>
    </row>
    <row r="117" spans="2:11" x14ac:dyDescent="0.25">
      <c r="B117" s="152"/>
      <c r="C117" s="152"/>
      <c r="D117" s="152"/>
      <c r="E117" s="238" t="s">
        <v>14</v>
      </c>
      <c r="F117" s="238"/>
      <c r="G117" s="238"/>
      <c r="H117" s="238"/>
      <c r="I117" s="238"/>
      <c r="J117" s="238"/>
      <c r="K117" s="152"/>
    </row>
    <row r="118" spans="2:11" ht="15.75" thickBot="1" x14ac:dyDescent="0.3">
      <c r="B118" s="152"/>
      <c r="C118" s="152"/>
      <c r="D118" s="152"/>
      <c r="E118" s="153" t="s">
        <v>38</v>
      </c>
      <c r="F118" s="154" t="s">
        <v>39</v>
      </c>
      <c r="G118" s="154" t="s">
        <v>40</v>
      </c>
      <c r="H118" s="154" t="s">
        <v>41</v>
      </c>
      <c r="I118" s="154" t="s">
        <v>42</v>
      </c>
      <c r="J118" s="154" t="s">
        <v>43</v>
      </c>
      <c r="K118" s="198" t="s">
        <v>175</v>
      </c>
    </row>
    <row r="119" spans="2:11" ht="15" customHeight="1" x14ac:dyDescent="0.25">
      <c r="B119" s="152"/>
      <c r="C119" s="237" t="s">
        <v>12</v>
      </c>
      <c r="D119" s="153" t="s">
        <v>1</v>
      </c>
      <c r="E119" s="118"/>
      <c r="F119" s="120"/>
      <c r="G119" s="120"/>
      <c r="H119" s="120"/>
      <c r="I119" s="120"/>
      <c r="J119" s="121"/>
      <c r="K119" s="199">
        <v>-1.2500000000000001E-2</v>
      </c>
    </row>
    <row r="120" spans="2:11" x14ac:dyDescent="0.25">
      <c r="B120" s="152"/>
      <c r="C120" s="237"/>
      <c r="D120" s="154" t="s">
        <v>7</v>
      </c>
      <c r="E120" s="126"/>
      <c r="F120" s="124"/>
      <c r="G120" s="124"/>
      <c r="H120" s="124"/>
      <c r="I120" s="124"/>
      <c r="J120" s="125"/>
      <c r="K120" s="199">
        <v>-3.7499999999999999E-2</v>
      </c>
    </row>
    <row r="121" spans="2:11" x14ac:dyDescent="0.25">
      <c r="B121" s="152"/>
      <c r="C121" s="237"/>
      <c r="D121" s="154" t="s">
        <v>8</v>
      </c>
      <c r="E121" s="143"/>
      <c r="F121" s="124"/>
      <c r="G121" s="124"/>
      <c r="H121" s="124"/>
      <c r="I121" s="124"/>
      <c r="J121" s="125"/>
      <c r="K121" s="199">
        <v>-6.25E-2</v>
      </c>
    </row>
    <row r="122" spans="2:11" x14ac:dyDescent="0.25">
      <c r="B122" s="152"/>
      <c r="C122" s="237"/>
      <c r="D122" s="154" t="s">
        <v>9</v>
      </c>
      <c r="E122" s="143"/>
      <c r="F122" s="124"/>
      <c r="G122" s="124"/>
      <c r="H122" s="124"/>
      <c r="I122" s="124"/>
      <c r="J122" s="125"/>
      <c r="K122" s="199">
        <v>-8.7500000000000008E-2</v>
      </c>
    </row>
    <row r="123" spans="2:11" x14ac:dyDescent="0.25">
      <c r="B123" s="152"/>
      <c r="C123" s="237"/>
      <c r="D123" s="154" t="s">
        <v>10</v>
      </c>
      <c r="E123" s="143"/>
      <c r="F123" s="124"/>
      <c r="G123" s="124"/>
      <c r="H123" s="124"/>
      <c r="I123" s="124"/>
      <c r="J123" s="125"/>
      <c r="K123" s="199">
        <v>-0.1125</v>
      </c>
    </row>
    <row r="124" spans="2:11" ht="15.75" thickBot="1" x14ac:dyDescent="0.3">
      <c r="B124" s="152"/>
      <c r="C124" s="237"/>
      <c r="D124" s="154" t="s">
        <v>11</v>
      </c>
      <c r="E124" s="127"/>
      <c r="F124" s="128"/>
      <c r="G124" s="128"/>
      <c r="H124" s="128"/>
      <c r="I124" s="128"/>
      <c r="J124" s="129"/>
      <c r="K124" s="199">
        <v>-0.15625</v>
      </c>
    </row>
    <row r="125" spans="2:11" x14ac:dyDescent="0.25">
      <c r="B125" s="152"/>
      <c r="C125" s="152"/>
      <c r="D125" s="194" t="s">
        <v>173</v>
      </c>
      <c r="E125" s="195">
        <v>7.9</v>
      </c>
      <c r="F125" s="195">
        <v>4.5999999999999996</v>
      </c>
      <c r="G125" s="195">
        <v>3.6</v>
      </c>
      <c r="H125" s="195">
        <v>3</v>
      </c>
      <c r="I125" s="195">
        <v>2.7</v>
      </c>
      <c r="J125" s="195">
        <v>2.2999999999999998</v>
      </c>
      <c r="K125" s="152"/>
    </row>
    <row r="126" spans="2:11" x14ac:dyDescent="0.25">
      <c r="B126" s="152"/>
      <c r="C126" s="152"/>
      <c r="D126" s="152"/>
      <c r="E126" s="152"/>
      <c r="F126" s="152"/>
      <c r="G126" s="152"/>
      <c r="H126" s="152"/>
      <c r="I126" s="152"/>
      <c r="J126" s="152"/>
      <c r="K126" s="152"/>
    </row>
    <row r="127" spans="2:11" x14ac:dyDescent="0.25">
      <c r="B127" s="152"/>
      <c r="C127" s="152"/>
      <c r="D127" s="152"/>
      <c r="E127" s="152"/>
      <c r="F127" s="152"/>
      <c r="G127" s="152"/>
      <c r="H127" s="152"/>
      <c r="I127" s="152"/>
      <c r="J127" s="152"/>
      <c r="K127" s="152"/>
    </row>
    <row r="128" spans="2:11" x14ac:dyDescent="0.25">
      <c r="B128" s="152"/>
      <c r="C128" s="152"/>
      <c r="D128" s="152"/>
      <c r="E128" s="152"/>
      <c r="F128" s="152"/>
      <c r="G128" s="152"/>
      <c r="H128" s="152"/>
      <c r="I128" s="152"/>
      <c r="J128" s="152"/>
      <c r="K128" s="152"/>
    </row>
    <row r="129" spans="2:11" ht="15.75" x14ac:dyDescent="0.25">
      <c r="B129" s="239" t="s">
        <v>48</v>
      </c>
      <c r="C129" s="239"/>
      <c r="D129" s="239"/>
      <c r="E129" s="239"/>
      <c r="F129" s="239"/>
      <c r="G129" s="239"/>
      <c r="H129" s="239"/>
      <c r="I129" s="239"/>
      <c r="J129" s="239"/>
      <c r="K129" s="152"/>
    </row>
    <row r="130" spans="2:11" x14ac:dyDescent="0.25">
      <c r="B130" s="152"/>
      <c r="C130" s="152"/>
      <c r="D130" s="152"/>
      <c r="E130" s="152"/>
      <c r="F130" s="152"/>
      <c r="G130" s="152"/>
      <c r="H130" s="152"/>
      <c r="I130" s="152"/>
      <c r="J130" s="152"/>
      <c r="K130" s="152"/>
    </row>
    <row r="131" spans="2:11" x14ac:dyDescent="0.25">
      <c r="B131" s="152"/>
      <c r="C131" s="152"/>
      <c r="D131" s="152"/>
      <c r="E131" s="238" t="s">
        <v>152</v>
      </c>
      <c r="F131" s="238"/>
      <c r="G131" s="238"/>
      <c r="H131" s="238"/>
      <c r="I131" s="238"/>
      <c r="J131" s="238"/>
      <c r="K131" s="152"/>
    </row>
    <row r="132" spans="2:11" ht="15.75" thickBot="1" x14ac:dyDescent="0.3">
      <c r="B132" s="152"/>
      <c r="C132" s="152"/>
      <c r="D132" s="152"/>
      <c r="E132" s="153" t="s">
        <v>127</v>
      </c>
      <c r="F132" s="154" t="s">
        <v>128</v>
      </c>
      <c r="G132" s="154" t="s">
        <v>46</v>
      </c>
      <c r="H132" s="154" t="s">
        <v>47</v>
      </c>
      <c r="I132" s="154" t="s">
        <v>63</v>
      </c>
      <c r="J132" s="154" t="s">
        <v>64</v>
      </c>
      <c r="K132" s="152"/>
    </row>
    <row r="133" spans="2:11" ht="15" customHeight="1" x14ac:dyDescent="0.25">
      <c r="B133" s="152"/>
      <c r="C133" s="237" t="s">
        <v>12</v>
      </c>
      <c r="D133" s="153" t="s">
        <v>1</v>
      </c>
      <c r="E133" s="130"/>
      <c r="F133" s="131"/>
      <c r="G133" s="131"/>
      <c r="H133" s="131"/>
      <c r="I133" s="131"/>
      <c r="J133" s="132"/>
      <c r="K133" s="152"/>
    </row>
    <row r="134" spans="2:11" x14ac:dyDescent="0.25">
      <c r="B134" s="152"/>
      <c r="C134" s="237"/>
      <c r="D134" s="154" t="s">
        <v>7</v>
      </c>
      <c r="E134" s="133"/>
      <c r="F134" s="134"/>
      <c r="G134" s="134"/>
      <c r="H134" s="134"/>
      <c r="I134" s="134"/>
      <c r="J134" s="135"/>
      <c r="K134" s="152"/>
    </row>
    <row r="135" spans="2:11" x14ac:dyDescent="0.25">
      <c r="B135" s="152"/>
      <c r="C135" s="237"/>
      <c r="D135" s="154" t="s">
        <v>8</v>
      </c>
      <c r="E135" s="133"/>
      <c r="F135" s="134"/>
      <c r="G135" s="134"/>
      <c r="H135" s="134"/>
      <c r="I135" s="134"/>
      <c r="J135" s="135"/>
      <c r="K135" s="152"/>
    </row>
    <row r="136" spans="2:11" x14ac:dyDescent="0.25">
      <c r="B136" s="152"/>
      <c r="C136" s="237"/>
      <c r="D136" s="154" t="s">
        <v>9</v>
      </c>
      <c r="E136" s="133"/>
      <c r="F136" s="134"/>
      <c r="G136" s="134"/>
      <c r="H136" s="134"/>
      <c r="I136" s="134"/>
      <c r="J136" s="135"/>
      <c r="K136" s="152"/>
    </row>
    <row r="137" spans="2:11" x14ac:dyDescent="0.25">
      <c r="B137" s="152"/>
      <c r="C137" s="237"/>
      <c r="D137" s="154" t="s">
        <v>10</v>
      </c>
      <c r="E137" s="133"/>
      <c r="F137" s="134"/>
      <c r="G137" s="134"/>
      <c r="H137" s="134"/>
      <c r="I137" s="134"/>
      <c r="J137" s="135"/>
      <c r="K137" s="152"/>
    </row>
    <row r="138" spans="2:11" ht="15.75" thickBot="1" x14ac:dyDescent="0.3">
      <c r="B138" s="152"/>
      <c r="C138" s="237"/>
      <c r="D138" s="154" t="s">
        <v>11</v>
      </c>
      <c r="E138" s="136"/>
      <c r="F138" s="137"/>
      <c r="G138" s="137"/>
      <c r="H138" s="137"/>
      <c r="I138" s="137"/>
      <c r="J138" s="138"/>
      <c r="K138" s="152"/>
    </row>
    <row r="139" spans="2:11" x14ac:dyDescent="0.25">
      <c r="B139" s="152"/>
      <c r="C139" s="152"/>
      <c r="D139" s="152"/>
      <c r="E139" s="152"/>
      <c r="F139" s="152"/>
      <c r="G139" s="152"/>
      <c r="H139" s="152"/>
      <c r="I139" s="152"/>
      <c r="J139" s="152"/>
      <c r="K139" s="152"/>
    </row>
    <row r="140" spans="2:11" x14ac:dyDescent="0.25">
      <c r="B140" s="152"/>
      <c r="C140" s="152"/>
      <c r="D140" s="152"/>
      <c r="E140" s="152"/>
      <c r="F140" s="152"/>
      <c r="G140" s="152"/>
      <c r="H140" s="152"/>
      <c r="I140" s="152"/>
      <c r="J140" s="152"/>
      <c r="K140" s="152"/>
    </row>
    <row r="141" spans="2:11" x14ac:dyDescent="0.25">
      <c r="B141" s="152"/>
      <c r="C141" s="152"/>
      <c r="D141" s="152"/>
      <c r="E141" s="152"/>
      <c r="F141" s="152"/>
      <c r="G141" s="152"/>
      <c r="H141" s="152"/>
      <c r="I141" s="152"/>
      <c r="J141" s="152"/>
      <c r="K141" s="152"/>
    </row>
    <row r="142" spans="2:11" x14ac:dyDescent="0.25">
      <c r="B142" s="152"/>
      <c r="C142" s="152"/>
      <c r="D142" s="152"/>
      <c r="E142" s="238" t="s">
        <v>14</v>
      </c>
      <c r="F142" s="238"/>
      <c r="G142" s="238"/>
      <c r="H142" s="238"/>
      <c r="I142" s="238"/>
      <c r="J142" s="238"/>
      <c r="K142" s="152"/>
    </row>
    <row r="143" spans="2:11" ht="15.75" thickBot="1" x14ac:dyDescent="0.3">
      <c r="B143" s="152"/>
      <c r="C143" s="152"/>
      <c r="D143" s="152"/>
      <c r="E143" s="153" t="s">
        <v>127</v>
      </c>
      <c r="F143" s="154" t="s">
        <v>128</v>
      </c>
      <c r="G143" s="154" t="s">
        <v>46</v>
      </c>
      <c r="H143" s="154" t="s">
        <v>47</v>
      </c>
      <c r="I143" s="154" t="s">
        <v>63</v>
      </c>
      <c r="J143" s="154" t="s">
        <v>64</v>
      </c>
      <c r="K143" s="198" t="s">
        <v>175</v>
      </c>
    </row>
    <row r="144" spans="2:11" ht="15" customHeight="1" x14ac:dyDescent="0.25">
      <c r="B144" s="152"/>
      <c r="C144" s="237" t="s">
        <v>12</v>
      </c>
      <c r="D144" s="153" t="s">
        <v>1</v>
      </c>
      <c r="E144" s="202"/>
      <c r="F144" s="120"/>
      <c r="G144" s="120"/>
      <c r="H144" s="120"/>
      <c r="I144" s="120"/>
      <c r="J144" s="121"/>
      <c r="K144" s="199">
        <v>-5.0000000000000001E-3</v>
      </c>
    </row>
    <row r="145" spans="2:11" x14ac:dyDescent="0.25">
      <c r="B145" s="152"/>
      <c r="C145" s="237"/>
      <c r="D145" s="154" t="s">
        <v>7</v>
      </c>
      <c r="E145" s="143"/>
      <c r="F145" s="124"/>
      <c r="G145" s="124"/>
      <c r="H145" s="124"/>
      <c r="I145" s="124"/>
      <c r="J145" s="125"/>
      <c r="K145" s="199">
        <v>-1.4999999999999999E-2</v>
      </c>
    </row>
    <row r="146" spans="2:11" x14ac:dyDescent="0.25">
      <c r="B146" s="152"/>
      <c r="C146" s="237"/>
      <c r="D146" s="154" t="s">
        <v>8</v>
      </c>
      <c r="E146" s="143"/>
      <c r="F146" s="124"/>
      <c r="G146" s="124"/>
      <c r="H146" s="124"/>
      <c r="I146" s="124"/>
      <c r="J146" s="125"/>
      <c r="K146" s="199">
        <v>-2.5000000000000001E-2</v>
      </c>
    </row>
    <row r="147" spans="2:11" x14ac:dyDescent="0.25">
      <c r="B147" s="152"/>
      <c r="C147" s="237"/>
      <c r="D147" s="154" t="s">
        <v>9</v>
      </c>
      <c r="E147" s="143"/>
      <c r="F147" s="124"/>
      <c r="G147" s="124"/>
      <c r="H147" s="124"/>
      <c r="I147" s="124"/>
      <c r="J147" s="125"/>
      <c r="K147" s="199">
        <v>-3.5000000000000003E-2</v>
      </c>
    </row>
    <row r="148" spans="2:11" x14ac:dyDescent="0.25">
      <c r="B148" s="152"/>
      <c r="C148" s="237"/>
      <c r="D148" s="154" t="s">
        <v>10</v>
      </c>
      <c r="E148" s="143"/>
      <c r="F148" s="124"/>
      <c r="G148" s="124"/>
      <c r="H148" s="124"/>
      <c r="I148" s="124"/>
      <c r="J148" s="125"/>
      <c r="K148" s="199">
        <v>-4.4999999999999998E-2</v>
      </c>
    </row>
    <row r="149" spans="2:11" ht="15.75" thickBot="1" x14ac:dyDescent="0.3">
      <c r="B149" s="152"/>
      <c r="C149" s="237"/>
      <c r="D149" s="154" t="s">
        <v>11</v>
      </c>
      <c r="E149" s="127"/>
      <c r="F149" s="128"/>
      <c r="G149" s="128"/>
      <c r="H149" s="128"/>
      <c r="I149" s="128"/>
      <c r="J149" s="129"/>
      <c r="K149" s="199">
        <v>-6.25E-2</v>
      </c>
    </row>
    <row r="150" spans="2:11" x14ac:dyDescent="0.25">
      <c r="B150" s="152"/>
      <c r="C150" s="152"/>
      <c r="D150" s="194" t="s">
        <v>173</v>
      </c>
      <c r="E150" s="195">
        <v>1.1000000000000001</v>
      </c>
      <c r="F150" s="195">
        <v>0.6</v>
      </c>
      <c r="G150" s="195">
        <v>0.4</v>
      </c>
      <c r="H150" s="195">
        <v>0.4</v>
      </c>
      <c r="I150" s="195">
        <v>0.3</v>
      </c>
      <c r="J150" s="195">
        <v>0.2</v>
      </c>
      <c r="K150" s="152"/>
    </row>
    <row r="151" spans="2:11" x14ac:dyDescent="0.25">
      <c r="B151" s="152"/>
      <c r="C151" s="152"/>
      <c r="D151" s="152"/>
      <c r="E151" s="152"/>
      <c r="F151" s="152"/>
      <c r="G151" s="152"/>
      <c r="H151" s="152"/>
      <c r="I151" s="152"/>
      <c r="J151" s="152"/>
      <c r="K151" s="152"/>
    </row>
    <row r="152" spans="2:11" x14ac:dyDescent="0.25">
      <c r="B152" s="152"/>
      <c r="C152" s="152"/>
      <c r="D152" s="152"/>
      <c r="E152" s="152"/>
      <c r="F152" s="152"/>
      <c r="G152" s="152"/>
      <c r="H152" s="152"/>
      <c r="I152" s="152"/>
      <c r="J152" s="152"/>
      <c r="K152" s="152"/>
    </row>
    <row r="153" spans="2:11" x14ac:dyDescent="0.25">
      <c r="B153" s="152"/>
      <c r="C153" s="152"/>
      <c r="D153" s="152"/>
      <c r="E153" s="152"/>
      <c r="F153" s="152"/>
      <c r="G153" s="152"/>
      <c r="H153" s="152"/>
      <c r="I153" s="152"/>
      <c r="J153" s="152"/>
      <c r="K153" s="152"/>
    </row>
    <row r="154" spans="2:11" ht="15.75" x14ac:dyDescent="0.25">
      <c r="B154" s="239" t="s">
        <v>49</v>
      </c>
      <c r="C154" s="239"/>
      <c r="D154" s="239"/>
      <c r="E154" s="239"/>
      <c r="F154" s="239"/>
      <c r="G154" s="239"/>
      <c r="H154" s="239"/>
      <c r="I154" s="239"/>
      <c r="J154" s="239"/>
      <c r="K154" s="152"/>
    </row>
    <row r="155" spans="2:11" x14ac:dyDescent="0.25">
      <c r="B155" s="152"/>
      <c r="C155" s="152"/>
      <c r="D155" s="152"/>
      <c r="E155" s="152"/>
      <c r="F155" s="152"/>
      <c r="G155" s="152"/>
      <c r="H155" s="152"/>
      <c r="I155" s="152"/>
      <c r="J155" s="152"/>
      <c r="K155" s="152"/>
    </row>
    <row r="156" spans="2:11" x14ac:dyDescent="0.25">
      <c r="B156" s="152"/>
      <c r="C156" s="152"/>
      <c r="D156" s="152"/>
      <c r="E156" s="238" t="s">
        <v>152</v>
      </c>
      <c r="F156" s="238"/>
      <c r="G156" s="238"/>
      <c r="H156" s="238"/>
      <c r="I156" s="238"/>
      <c r="J156" s="238"/>
      <c r="K156" s="152"/>
    </row>
    <row r="157" spans="2:11" ht="15.75" thickBot="1" x14ac:dyDescent="0.3">
      <c r="B157" s="152"/>
      <c r="C157" s="152"/>
      <c r="D157" s="152"/>
      <c r="E157" s="153" t="s">
        <v>44</v>
      </c>
      <c r="F157" s="154" t="s">
        <v>45</v>
      </c>
      <c r="G157" s="154" t="s">
        <v>46</v>
      </c>
      <c r="H157" s="154" t="s">
        <v>47</v>
      </c>
      <c r="I157" s="154" t="s">
        <v>61</v>
      </c>
      <c r="J157" s="154" t="s">
        <v>62</v>
      </c>
      <c r="K157" s="152"/>
    </row>
    <row r="158" spans="2:11" ht="15" customHeight="1" x14ac:dyDescent="0.25">
      <c r="B158" s="152"/>
      <c r="C158" s="237" t="s">
        <v>12</v>
      </c>
      <c r="D158" s="153" t="s">
        <v>1</v>
      </c>
      <c r="E158" s="130"/>
      <c r="F158" s="131"/>
      <c r="G158" s="131"/>
      <c r="H158" s="131"/>
      <c r="I158" s="131"/>
      <c r="J158" s="132"/>
      <c r="K158" s="152"/>
    </row>
    <row r="159" spans="2:11" x14ac:dyDescent="0.25">
      <c r="B159" s="152"/>
      <c r="C159" s="237"/>
      <c r="D159" s="154" t="s">
        <v>7</v>
      </c>
      <c r="E159" s="133"/>
      <c r="F159" s="134"/>
      <c r="G159" s="134"/>
      <c r="H159" s="134"/>
      <c r="I159" s="134"/>
      <c r="J159" s="135"/>
      <c r="K159" s="152"/>
    </row>
    <row r="160" spans="2:11" x14ac:dyDescent="0.25">
      <c r="B160" s="152"/>
      <c r="C160" s="237"/>
      <c r="D160" s="154" t="s">
        <v>8</v>
      </c>
      <c r="E160" s="133"/>
      <c r="F160" s="134"/>
      <c r="G160" s="134"/>
      <c r="H160" s="134"/>
      <c r="I160" s="134"/>
      <c r="J160" s="135"/>
      <c r="K160" s="152"/>
    </row>
    <row r="161" spans="2:11" x14ac:dyDescent="0.25">
      <c r="B161" s="152"/>
      <c r="C161" s="237"/>
      <c r="D161" s="154" t="s">
        <v>9</v>
      </c>
      <c r="E161" s="133"/>
      <c r="F161" s="134"/>
      <c r="G161" s="134"/>
      <c r="H161" s="134"/>
      <c r="I161" s="134"/>
      <c r="J161" s="135"/>
      <c r="K161" s="152"/>
    </row>
    <row r="162" spans="2:11" x14ac:dyDescent="0.25">
      <c r="B162" s="152"/>
      <c r="C162" s="237"/>
      <c r="D162" s="154" t="s">
        <v>10</v>
      </c>
      <c r="E162" s="133"/>
      <c r="F162" s="134"/>
      <c r="G162" s="134"/>
      <c r="H162" s="134"/>
      <c r="I162" s="134"/>
      <c r="J162" s="135"/>
      <c r="K162" s="152"/>
    </row>
    <row r="163" spans="2:11" ht="15.75" thickBot="1" x14ac:dyDescent="0.3">
      <c r="B163" s="152"/>
      <c r="C163" s="237"/>
      <c r="D163" s="154" t="s">
        <v>11</v>
      </c>
      <c r="E163" s="136"/>
      <c r="F163" s="137"/>
      <c r="G163" s="137"/>
      <c r="H163" s="137"/>
      <c r="I163" s="137"/>
      <c r="J163" s="138"/>
      <c r="K163" s="152"/>
    </row>
    <row r="164" spans="2:11" x14ac:dyDescent="0.25">
      <c r="B164" s="152"/>
      <c r="C164" s="152"/>
      <c r="D164" s="152"/>
      <c r="E164" s="152"/>
      <c r="F164" s="152"/>
      <c r="G164" s="152"/>
      <c r="H164" s="152"/>
      <c r="I164" s="152"/>
      <c r="J164" s="152"/>
      <c r="K164" s="152"/>
    </row>
    <row r="165" spans="2:11" x14ac:dyDescent="0.25">
      <c r="B165" s="152"/>
      <c r="C165" s="152"/>
      <c r="D165" s="152"/>
      <c r="E165" s="152"/>
      <c r="F165" s="152"/>
      <c r="G165" s="152"/>
      <c r="H165" s="152"/>
      <c r="I165" s="152"/>
      <c r="J165" s="152"/>
      <c r="K165" s="152"/>
    </row>
    <row r="166" spans="2:11" x14ac:dyDescent="0.25">
      <c r="B166" s="152"/>
      <c r="C166" s="152"/>
      <c r="D166" s="152"/>
      <c r="E166" s="152"/>
      <c r="F166" s="152"/>
      <c r="G166" s="152"/>
      <c r="H166" s="152"/>
      <c r="I166" s="152"/>
      <c r="J166" s="152"/>
      <c r="K166" s="152"/>
    </row>
    <row r="167" spans="2:11" x14ac:dyDescent="0.25">
      <c r="B167" s="152"/>
      <c r="C167" s="152"/>
      <c r="D167" s="152"/>
      <c r="E167" s="238" t="s">
        <v>14</v>
      </c>
      <c r="F167" s="238"/>
      <c r="G167" s="238"/>
      <c r="H167" s="238"/>
      <c r="I167" s="238"/>
      <c r="J167" s="238"/>
      <c r="K167" s="152"/>
    </row>
    <row r="168" spans="2:11" ht="15.75" thickBot="1" x14ac:dyDescent="0.3">
      <c r="B168" s="152"/>
      <c r="C168" s="152"/>
      <c r="D168" s="152"/>
      <c r="E168" s="153" t="s">
        <v>44</v>
      </c>
      <c r="F168" s="154" t="s">
        <v>45</v>
      </c>
      <c r="G168" s="154" t="s">
        <v>46</v>
      </c>
      <c r="H168" s="154" t="s">
        <v>47</v>
      </c>
      <c r="I168" s="154" t="s">
        <v>61</v>
      </c>
      <c r="J168" s="154" t="s">
        <v>62</v>
      </c>
      <c r="K168" s="198" t="s">
        <v>175</v>
      </c>
    </row>
    <row r="169" spans="2:11" ht="15" customHeight="1" x14ac:dyDescent="0.25">
      <c r="B169" s="152"/>
      <c r="C169" s="237" t="s">
        <v>12</v>
      </c>
      <c r="D169" s="153" t="s">
        <v>1</v>
      </c>
      <c r="E169" s="118"/>
      <c r="F169" s="119"/>
      <c r="G169" s="120"/>
      <c r="H169" s="120"/>
      <c r="I169" s="120"/>
      <c r="J169" s="121"/>
      <c r="K169" s="199">
        <v>-5.0000000000000001E-3</v>
      </c>
    </row>
    <row r="170" spans="2:11" x14ac:dyDescent="0.25">
      <c r="B170" s="152"/>
      <c r="C170" s="237"/>
      <c r="D170" s="154" t="s">
        <v>7</v>
      </c>
      <c r="E170" s="126"/>
      <c r="F170" s="123"/>
      <c r="G170" s="124"/>
      <c r="H170" s="124"/>
      <c r="I170" s="124"/>
      <c r="J170" s="125"/>
      <c r="K170" s="199">
        <v>-1.4999999999999999E-2</v>
      </c>
    </row>
    <row r="171" spans="2:11" x14ac:dyDescent="0.25">
      <c r="B171" s="152"/>
      <c r="C171" s="237"/>
      <c r="D171" s="154" t="s">
        <v>8</v>
      </c>
      <c r="E171" s="143"/>
      <c r="F171" s="124"/>
      <c r="G171" s="124"/>
      <c r="H171" s="124"/>
      <c r="I171" s="124"/>
      <c r="J171" s="125"/>
      <c r="K171" s="199">
        <v>-2.5000000000000001E-2</v>
      </c>
    </row>
    <row r="172" spans="2:11" x14ac:dyDescent="0.25">
      <c r="B172" s="152"/>
      <c r="C172" s="237"/>
      <c r="D172" s="154" t="s">
        <v>9</v>
      </c>
      <c r="E172" s="143"/>
      <c r="F172" s="124"/>
      <c r="G172" s="124"/>
      <c r="H172" s="124"/>
      <c r="I172" s="124"/>
      <c r="J172" s="125"/>
      <c r="K172" s="199">
        <v>-3.5000000000000003E-2</v>
      </c>
    </row>
    <row r="173" spans="2:11" x14ac:dyDescent="0.25">
      <c r="B173" s="152"/>
      <c r="C173" s="237"/>
      <c r="D173" s="154" t="s">
        <v>10</v>
      </c>
      <c r="E173" s="143"/>
      <c r="F173" s="124"/>
      <c r="G173" s="124"/>
      <c r="H173" s="124"/>
      <c r="I173" s="124"/>
      <c r="J173" s="125"/>
      <c r="K173" s="199">
        <v>-4.4999999999999998E-2</v>
      </c>
    </row>
    <row r="174" spans="2:11" ht="15.75" thickBot="1" x14ac:dyDescent="0.3">
      <c r="B174" s="152"/>
      <c r="C174" s="237"/>
      <c r="D174" s="154" t="s">
        <v>11</v>
      </c>
      <c r="E174" s="127"/>
      <c r="F174" s="128"/>
      <c r="G174" s="128"/>
      <c r="H174" s="128"/>
      <c r="I174" s="128"/>
      <c r="J174" s="129"/>
      <c r="K174" s="199">
        <v>-6.25E-2</v>
      </c>
    </row>
    <row r="175" spans="2:11" x14ac:dyDescent="0.25">
      <c r="B175" s="152"/>
      <c r="C175" s="152"/>
      <c r="D175" s="194" t="s">
        <v>173</v>
      </c>
      <c r="E175" s="195">
        <v>9.3000000000000007</v>
      </c>
      <c r="F175" s="195">
        <v>5.4</v>
      </c>
      <c r="G175" s="195">
        <v>4.2</v>
      </c>
      <c r="H175" s="195">
        <v>3.5</v>
      </c>
      <c r="I175" s="195">
        <v>2.5</v>
      </c>
      <c r="J175" s="195">
        <v>1.9</v>
      </c>
      <c r="K175" s="152"/>
    </row>
    <row r="176" spans="2:11" x14ac:dyDescent="0.25">
      <c r="B176" s="152"/>
      <c r="C176" s="152"/>
      <c r="D176" s="152"/>
      <c r="E176" s="152"/>
      <c r="F176" s="152"/>
      <c r="G176" s="152"/>
      <c r="H176" s="152"/>
      <c r="I176" s="152"/>
      <c r="J176" s="152"/>
      <c r="K176" s="152"/>
    </row>
    <row r="177" spans="2:11" x14ac:dyDescent="0.25">
      <c r="B177" s="152"/>
      <c r="C177" s="152"/>
      <c r="D177" s="152"/>
      <c r="E177" s="152"/>
      <c r="F177" s="152"/>
      <c r="G177" s="152"/>
      <c r="H177" s="152"/>
      <c r="I177" s="152"/>
      <c r="J177" s="152"/>
      <c r="K177" s="152"/>
    </row>
    <row r="178" spans="2:11" x14ac:dyDescent="0.25">
      <c r="B178" s="152"/>
      <c r="C178" s="152"/>
      <c r="D178" s="152"/>
      <c r="E178" s="152"/>
      <c r="F178" s="152"/>
      <c r="G178" s="152"/>
      <c r="H178" s="152"/>
      <c r="I178" s="152"/>
      <c r="J178" s="152"/>
      <c r="K178" s="152"/>
    </row>
    <row r="179" spans="2:11" ht="15.75" x14ac:dyDescent="0.25">
      <c r="B179" s="239" t="s">
        <v>50</v>
      </c>
      <c r="C179" s="239"/>
      <c r="D179" s="239"/>
      <c r="E179" s="239"/>
      <c r="F179" s="239"/>
      <c r="G179" s="239"/>
      <c r="H179" s="239"/>
      <c r="I179" s="239"/>
      <c r="J179" s="239"/>
      <c r="K179" s="152"/>
    </row>
    <row r="180" spans="2:11" x14ac:dyDescent="0.25">
      <c r="B180" s="152"/>
      <c r="C180" s="152"/>
      <c r="D180" s="152"/>
      <c r="E180" s="152"/>
      <c r="F180" s="152"/>
      <c r="G180" s="152"/>
      <c r="H180" s="152"/>
      <c r="I180" s="152"/>
      <c r="J180" s="152"/>
      <c r="K180" s="152"/>
    </row>
    <row r="181" spans="2:11" x14ac:dyDescent="0.25">
      <c r="B181" s="152"/>
      <c r="C181" s="152"/>
      <c r="D181" s="152"/>
      <c r="E181" s="238" t="s">
        <v>152</v>
      </c>
      <c r="F181" s="238"/>
      <c r="G181" s="238"/>
      <c r="H181" s="238"/>
      <c r="I181" s="238"/>
      <c r="J181" s="238"/>
      <c r="K181" s="152"/>
    </row>
    <row r="182" spans="2:11" ht="15.75" thickBot="1" x14ac:dyDescent="0.3">
      <c r="B182" s="152"/>
      <c r="C182" s="152"/>
      <c r="D182" s="152"/>
      <c r="E182" s="153" t="s">
        <v>57</v>
      </c>
      <c r="F182" s="154" t="s">
        <v>56</v>
      </c>
      <c r="G182" s="154" t="s">
        <v>52</v>
      </c>
      <c r="H182" s="154" t="s">
        <v>54</v>
      </c>
      <c r="I182" s="154" t="s">
        <v>55</v>
      </c>
      <c r="J182" s="154" t="s">
        <v>53</v>
      </c>
      <c r="K182" s="152"/>
    </row>
    <row r="183" spans="2:11" ht="15" customHeight="1" x14ac:dyDescent="0.25">
      <c r="B183" s="152"/>
      <c r="C183" s="237" t="s">
        <v>12</v>
      </c>
      <c r="D183" s="153" t="s">
        <v>1</v>
      </c>
      <c r="E183" s="130"/>
      <c r="F183" s="131"/>
      <c r="G183" s="131"/>
      <c r="H183" s="131"/>
      <c r="I183" s="131"/>
      <c r="J183" s="132"/>
      <c r="K183" s="152"/>
    </row>
    <row r="184" spans="2:11" x14ac:dyDescent="0.25">
      <c r="B184" s="152"/>
      <c r="C184" s="237"/>
      <c r="D184" s="154" t="s">
        <v>7</v>
      </c>
      <c r="E184" s="133"/>
      <c r="F184" s="134"/>
      <c r="G184" s="134"/>
      <c r="H184" s="134"/>
      <c r="I184" s="134"/>
      <c r="J184" s="135"/>
      <c r="K184" s="152"/>
    </row>
    <row r="185" spans="2:11" x14ac:dyDescent="0.25">
      <c r="B185" s="152"/>
      <c r="C185" s="237"/>
      <c r="D185" s="154" t="s">
        <v>8</v>
      </c>
      <c r="E185" s="133"/>
      <c r="F185" s="134"/>
      <c r="G185" s="134"/>
      <c r="H185" s="134"/>
      <c r="I185" s="134"/>
      <c r="J185" s="135"/>
      <c r="K185" s="152"/>
    </row>
    <row r="186" spans="2:11" x14ac:dyDescent="0.25">
      <c r="B186" s="152"/>
      <c r="C186" s="237"/>
      <c r="D186" s="154" t="s">
        <v>9</v>
      </c>
      <c r="E186" s="133"/>
      <c r="F186" s="134"/>
      <c r="G186" s="134"/>
      <c r="H186" s="134"/>
      <c r="I186" s="134"/>
      <c r="J186" s="135"/>
      <c r="K186" s="152"/>
    </row>
    <row r="187" spans="2:11" x14ac:dyDescent="0.25">
      <c r="B187" s="152"/>
      <c r="C187" s="237"/>
      <c r="D187" s="154" t="s">
        <v>10</v>
      </c>
      <c r="E187" s="133"/>
      <c r="F187" s="134"/>
      <c r="G187" s="134"/>
      <c r="H187" s="134"/>
      <c r="I187" s="134"/>
      <c r="J187" s="135"/>
      <c r="K187" s="152"/>
    </row>
    <row r="188" spans="2:11" ht="15.75" thickBot="1" x14ac:dyDescent="0.3">
      <c r="B188" s="152"/>
      <c r="C188" s="237"/>
      <c r="D188" s="154" t="s">
        <v>11</v>
      </c>
      <c r="E188" s="136"/>
      <c r="F188" s="137"/>
      <c r="G188" s="137"/>
      <c r="H188" s="137"/>
      <c r="I188" s="137"/>
      <c r="J188" s="138"/>
      <c r="K188" s="152"/>
    </row>
    <row r="189" spans="2:11" x14ac:dyDescent="0.25">
      <c r="B189" s="152"/>
      <c r="C189" s="152"/>
      <c r="D189" s="193"/>
      <c r="E189" s="152"/>
      <c r="F189" s="152"/>
      <c r="G189" s="152"/>
      <c r="H189" s="152"/>
      <c r="I189" s="152"/>
      <c r="J189" s="152"/>
      <c r="K189" s="152"/>
    </row>
    <row r="190" spans="2:11" x14ac:dyDescent="0.25">
      <c r="B190" s="152"/>
      <c r="C190" s="152"/>
      <c r="D190" s="152"/>
      <c r="E190" s="152"/>
      <c r="F190" s="152"/>
      <c r="G190" s="152"/>
      <c r="H190" s="152"/>
      <c r="I190" s="152"/>
      <c r="J190" s="152"/>
      <c r="K190" s="152"/>
    </row>
    <row r="191" spans="2:11" x14ac:dyDescent="0.25">
      <c r="B191" s="152"/>
      <c r="C191" s="152"/>
      <c r="D191" s="152"/>
      <c r="E191" s="152"/>
      <c r="F191" s="152"/>
      <c r="G191" s="152"/>
      <c r="H191" s="152"/>
      <c r="I191" s="152"/>
      <c r="J191" s="152"/>
      <c r="K191" s="152"/>
    </row>
    <row r="192" spans="2:11" x14ac:dyDescent="0.25">
      <c r="B192" s="152"/>
      <c r="C192" s="152"/>
      <c r="D192" s="152"/>
      <c r="E192" s="238" t="s">
        <v>14</v>
      </c>
      <c r="F192" s="238"/>
      <c r="G192" s="238"/>
      <c r="H192" s="238"/>
      <c r="I192" s="238"/>
      <c r="J192" s="238"/>
      <c r="K192" s="152"/>
    </row>
    <row r="193" spans="2:11" ht="15.75" thickBot="1" x14ac:dyDescent="0.3">
      <c r="B193" s="152"/>
      <c r="C193" s="152"/>
      <c r="D193" s="152"/>
      <c r="E193" s="153" t="s">
        <v>57</v>
      </c>
      <c r="F193" s="154" t="s">
        <v>56</v>
      </c>
      <c r="G193" s="154" t="s">
        <v>52</v>
      </c>
      <c r="H193" s="154" t="s">
        <v>54</v>
      </c>
      <c r="I193" s="154" t="s">
        <v>55</v>
      </c>
      <c r="J193" s="154" t="s">
        <v>53</v>
      </c>
      <c r="K193" s="198" t="s">
        <v>175</v>
      </c>
    </row>
    <row r="194" spans="2:11" ht="15" customHeight="1" x14ac:dyDescent="0.25">
      <c r="B194" s="152"/>
      <c r="C194" s="237" t="s">
        <v>12</v>
      </c>
      <c r="D194" s="153" t="s">
        <v>1</v>
      </c>
      <c r="E194" s="202"/>
      <c r="F194" s="120"/>
      <c r="G194" s="120"/>
      <c r="H194" s="120"/>
      <c r="I194" s="120"/>
      <c r="J194" s="121"/>
      <c r="K194" s="199">
        <v>-5.0000000000000001E-3</v>
      </c>
    </row>
    <row r="195" spans="2:11" x14ac:dyDescent="0.25">
      <c r="B195" s="152"/>
      <c r="C195" s="237"/>
      <c r="D195" s="154" t="s">
        <v>7</v>
      </c>
      <c r="E195" s="143"/>
      <c r="F195" s="124"/>
      <c r="G195" s="124"/>
      <c r="H195" s="124"/>
      <c r="I195" s="124"/>
      <c r="J195" s="125"/>
      <c r="K195" s="199">
        <v>-1.4999999999999999E-2</v>
      </c>
    </row>
    <row r="196" spans="2:11" x14ac:dyDescent="0.25">
      <c r="B196" s="152"/>
      <c r="C196" s="237"/>
      <c r="D196" s="154" t="s">
        <v>8</v>
      </c>
      <c r="E196" s="143"/>
      <c r="F196" s="124"/>
      <c r="G196" s="124"/>
      <c r="H196" s="124"/>
      <c r="I196" s="124"/>
      <c r="J196" s="125"/>
      <c r="K196" s="199">
        <v>-2.5000000000000001E-2</v>
      </c>
    </row>
    <row r="197" spans="2:11" x14ac:dyDescent="0.25">
      <c r="B197" s="152"/>
      <c r="C197" s="237"/>
      <c r="D197" s="154" t="s">
        <v>9</v>
      </c>
      <c r="E197" s="143"/>
      <c r="F197" s="124"/>
      <c r="G197" s="124"/>
      <c r="H197" s="124"/>
      <c r="I197" s="124"/>
      <c r="J197" s="125"/>
      <c r="K197" s="199">
        <v>-3.5000000000000003E-2</v>
      </c>
    </row>
    <row r="198" spans="2:11" x14ac:dyDescent="0.25">
      <c r="B198" s="152"/>
      <c r="C198" s="237"/>
      <c r="D198" s="154" t="s">
        <v>10</v>
      </c>
      <c r="E198" s="143"/>
      <c r="F198" s="124"/>
      <c r="G198" s="124"/>
      <c r="H198" s="124"/>
      <c r="I198" s="124"/>
      <c r="J198" s="125"/>
      <c r="K198" s="199">
        <v>-4.4999999999999998E-2</v>
      </c>
    </row>
    <row r="199" spans="2:11" ht="15.75" thickBot="1" x14ac:dyDescent="0.3">
      <c r="B199" s="152"/>
      <c r="C199" s="237"/>
      <c r="D199" s="154" t="s">
        <v>11</v>
      </c>
      <c r="E199" s="127"/>
      <c r="F199" s="128"/>
      <c r="G199" s="128"/>
      <c r="H199" s="128"/>
      <c r="I199" s="128"/>
      <c r="J199" s="129"/>
      <c r="K199" s="199">
        <v>-6.25E-2</v>
      </c>
    </row>
    <row r="200" spans="2:11" x14ac:dyDescent="0.25">
      <c r="B200" s="152"/>
      <c r="C200" s="152"/>
      <c r="D200" s="194" t="s">
        <v>173</v>
      </c>
      <c r="E200" s="195">
        <v>0.7</v>
      </c>
      <c r="F200" s="195">
        <v>0.4</v>
      </c>
      <c r="G200" s="195">
        <v>0.3</v>
      </c>
      <c r="H200" s="195">
        <v>0.2</v>
      </c>
      <c r="I200" s="195">
        <v>0.2</v>
      </c>
      <c r="J200" s="195">
        <v>0.1</v>
      </c>
    </row>
    <row r="204" spans="2:11" ht="15.75" x14ac:dyDescent="0.25">
      <c r="B204" s="239" t="s">
        <v>51</v>
      </c>
      <c r="C204" s="239"/>
      <c r="D204" s="239"/>
      <c r="E204" s="239"/>
      <c r="F204" s="239"/>
      <c r="G204" s="239"/>
      <c r="H204" s="239"/>
      <c r="I204" s="239"/>
      <c r="J204" s="239"/>
    </row>
    <row r="206" spans="2:11" x14ac:dyDescent="0.25">
      <c r="E206" s="241" t="s">
        <v>15</v>
      </c>
      <c r="F206" s="241"/>
      <c r="G206" s="241"/>
      <c r="H206" s="241"/>
      <c r="I206" s="241"/>
      <c r="J206" s="241"/>
    </row>
    <row r="207" spans="2:11" ht="15.75" thickBot="1" x14ac:dyDescent="0.3">
      <c r="E207" s="1" t="s">
        <v>57</v>
      </c>
      <c r="F207" s="2" t="s">
        <v>56</v>
      </c>
      <c r="G207" s="2" t="s">
        <v>52</v>
      </c>
      <c r="H207" s="2" t="s">
        <v>59</v>
      </c>
      <c r="I207" s="2" t="s">
        <v>60</v>
      </c>
      <c r="J207" s="2" t="s">
        <v>58</v>
      </c>
    </row>
    <row r="208" spans="2:11" x14ac:dyDescent="0.25">
      <c r="C208" s="242" t="s">
        <v>12</v>
      </c>
      <c r="D208" s="1" t="s">
        <v>1</v>
      </c>
      <c r="E208" s="130"/>
      <c r="F208" s="131"/>
      <c r="G208" s="131"/>
      <c r="H208" s="131"/>
      <c r="I208" s="131"/>
      <c r="J208" s="132"/>
    </row>
    <row r="209" spans="3:11" x14ac:dyDescent="0.25">
      <c r="C209" s="242"/>
      <c r="D209" s="2" t="s">
        <v>7</v>
      </c>
      <c r="E209" s="133"/>
      <c r="F209" s="134"/>
      <c r="G209" s="134"/>
      <c r="H209" s="134"/>
      <c r="I209" s="134"/>
      <c r="J209" s="135"/>
    </row>
    <row r="210" spans="3:11" x14ac:dyDescent="0.25">
      <c r="C210" s="242"/>
      <c r="D210" s="2" t="s">
        <v>8</v>
      </c>
      <c r="E210" s="133"/>
      <c r="F210" s="134"/>
      <c r="G210" s="134"/>
      <c r="H210" s="134"/>
      <c r="I210" s="134"/>
      <c r="J210" s="135"/>
    </row>
    <row r="211" spans="3:11" x14ac:dyDescent="0.25">
      <c r="C211" s="242"/>
      <c r="D211" s="2" t="s">
        <v>9</v>
      </c>
      <c r="E211" s="133"/>
      <c r="F211" s="134"/>
      <c r="G211" s="134"/>
      <c r="H211" s="134"/>
      <c r="I211" s="134"/>
      <c r="J211" s="135"/>
    </row>
    <row r="212" spans="3:11" x14ac:dyDescent="0.25">
      <c r="C212" s="242"/>
      <c r="D212" s="2" t="s">
        <v>10</v>
      </c>
      <c r="E212" s="133"/>
      <c r="F212" s="134"/>
      <c r="G212" s="134"/>
      <c r="H212" s="134"/>
      <c r="I212" s="134"/>
      <c r="J212" s="135"/>
    </row>
    <row r="213" spans="3:11" ht="15.75" thickBot="1" x14ac:dyDescent="0.3">
      <c r="C213" s="242"/>
      <c r="D213" s="2" t="s">
        <v>11</v>
      </c>
      <c r="E213" s="136"/>
      <c r="F213" s="137"/>
      <c r="G213" s="137"/>
      <c r="H213" s="137"/>
      <c r="I213" s="137"/>
      <c r="J213" s="138"/>
    </row>
    <row r="217" spans="3:11" x14ac:dyDescent="0.25">
      <c r="E217" s="241" t="s">
        <v>14</v>
      </c>
      <c r="F217" s="241"/>
      <c r="G217" s="241"/>
      <c r="H217" s="241"/>
      <c r="I217" s="241"/>
      <c r="J217" s="241"/>
    </row>
    <row r="218" spans="3:11" ht="15.75" thickBot="1" x14ac:dyDescent="0.3">
      <c r="E218" s="1" t="s">
        <v>57</v>
      </c>
      <c r="F218" s="2" t="s">
        <v>56</v>
      </c>
      <c r="G218" s="2" t="s">
        <v>52</v>
      </c>
      <c r="H218" s="2" t="s">
        <v>59</v>
      </c>
      <c r="I218" s="2" t="s">
        <v>60</v>
      </c>
      <c r="J218" s="2" t="s">
        <v>58</v>
      </c>
      <c r="K218" s="198" t="s">
        <v>175</v>
      </c>
    </row>
    <row r="219" spans="3:11" x14ac:dyDescent="0.25">
      <c r="C219" s="242" t="s">
        <v>12</v>
      </c>
      <c r="D219" s="1" t="s">
        <v>1</v>
      </c>
      <c r="E219" s="118"/>
      <c r="F219" s="119"/>
      <c r="G219" s="120"/>
      <c r="H219" s="120"/>
      <c r="I219" s="120"/>
      <c r="J219" s="121"/>
      <c r="K219" s="199">
        <v>-5.0000000000000001E-3</v>
      </c>
    </row>
    <row r="220" spans="3:11" x14ac:dyDescent="0.25">
      <c r="C220" s="242"/>
      <c r="D220" s="2" t="s">
        <v>7</v>
      </c>
      <c r="E220" s="126"/>
      <c r="F220" s="123"/>
      <c r="G220" s="124"/>
      <c r="H220" s="124"/>
      <c r="I220" s="124"/>
      <c r="J220" s="125"/>
      <c r="K220" s="199">
        <v>-1.4999999999999999E-2</v>
      </c>
    </row>
    <row r="221" spans="3:11" x14ac:dyDescent="0.25">
      <c r="C221" s="242"/>
      <c r="D221" s="2" t="s">
        <v>8</v>
      </c>
      <c r="E221" s="143"/>
      <c r="F221" s="124"/>
      <c r="G221" s="124"/>
      <c r="H221" s="124"/>
      <c r="I221" s="124"/>
      <c r="J221" s="125"/>
      <c r="K221" s="199">
        <v>-2.5000000000000001E-2</v>
      </c>
    </row>
    <row r="222" spans="3:11" x14ac:dyDescent="0.25">
      <c r="C222" s="242"/>
      <c r="D222" s="2" t="s">
        <v>9</v>
      </c>
      <c r="E222" s="143"/>
      <c r="F222" s="124"/>
      <c r="G222" s="124"/>
      <c r="H222" s="124"/>
      <c r="I222" s="124"/>
      <c r="J222" s="125"/>
      <c r="K222" s="199">
        <v>-3.5000000000000003E-2</v>
      </c>
    </row>
    <row r="223" spans="3:11" x14ac:dyDescent="0.25">
      <c r="C223" s="242"/>
      <c r="D223" s="2" t="s">
        <v>10</v>
      </c>
      <c r="E223" s="143"/>
      <c r="F223" s="124"/>
      <c r="G223" s="124"/>
      <c r="H223" s="124"/>
      <c r="I223" s="124"/>
      <c r="J223" s="125"/>
      <c r="K223" s="199">
        <v>-4.4999999999999998E-2</v>
      </c>
    </row>
    <row r="224" spans="3:11" ht="15.75" thickBot="1" x14ac:dyDescent="0.3">
      <c r="C224" s="242"/>
      <c r="D224" s="2" t="s">
        <v>11</v>
      </c>
      <c r="E224" s="127"/>
      <c r="F224" s="128"/>
      <c r="G224" s="128"/>
      <c r="H224" s="128"/>
      <c r="I224" s="128"/>
      <c r="J224" s="129"/>
      <c r="K224" s="199">
        <v>-6.25E-2</v>
      </c>
    </row>
    <row r="225" spans="4:10" x14ac:dyDescent="0.25">
      <c r="D225" s="194" t="s">
        <v>173</v>
      </c>
      <c r="E225" s="195">
        <v>9.3000000000000007</v>
      </c>
      <c r="F225" s="195">
        <v>5.4</v>
      </c>
      <c r="G225" s="195">
        <v>3.8</v>
      </c>
      <c r="H225" s="195">
        <v>2.7</v>
      </c>
      <c r="I225" s="195">
        <v>2.1</v>
      </c>
      <c r="J225" s="195">
        <v>1.7</v>
      </c>
    </row>
  </sheetData>
  <sheetProtection algorithmName="SHA-512" hashValue="lhWraB+NrkokttdB8kwCJk9/hDRCO8ow26ewu9U+/5Me/bJDSjdhU/OX2N+GgZmQjeABpMydw1SaopQv7Ewcrw==" saltValue="F4bwdrdN6Kz47jDKdWTuIQ==" spinCount="100000" sheet="1" objects="1" scenarios="1" selectLockedCells="1"/>
  <mergeCells count="46">
    <mergeCell ref="E217:J217"/>
    <mergeCell ref="C219:C224"/>
    <mergeCell ref="C183:C188"/>
    <mergeCell ref="E192:J192"/>
    <mergeCell ref="C194:C199"/>
    <mergeCell ref="B204:J204"/>
    <mergeCell ref="E206:J206"/>
    <mergeCell ref="C208:C213"/>
    <mergeCell ref="E181:J181"/>
    <mergeCell ref="B129:J129"/>
    <mergeCell ref="E131:J131"/>
    <mergeCell ref="C133:C138"/>
    <mergeCell ref="E142:J142"/>
    <mergeCell ref="C144:C149"/>
    <mergeCell ref="B154:J154"/>
    <mergeCell ref="E156:J156"/>
    <mergeCell ref="C158:C163"/>
    <mergeCell ref="E167:J167"/>
    <mergeCell ref="C169:C174"/>
    <mergeCell ref="B179:J179"/>
    <mergeCell ref="C119:C124"/>
    <mergeCell ref="E67:J67"/>
    <mergeCell ref="C69:C74"/>
    <mergeCell ref="B79:J79"/>
    <mergeCell ref="E81:J81"/>
    <mergeCell ref="C83:C88"/>
    <mergeCell ref="E92:J92"/>
    <mergeCell ref="C94:C99"/>
    <mergeCell ref="B104:J104"/>
    <mergeCell ref="E106:J106"/>
    <mergeCell ref="C108:C113"/>
    <mergeCell ref="E117:J117"/>
    <mergeCell ref="C44:C49"/>
    <mergeCell ref="B54:J54"/>
    <mergeCell ref="E56:J56"/>
    <mergeCell ref="C58:C63"/>
    <mergeCell ref="C19:C24"/>
    <mergeCell ref="B29:J29"/>
    <mergeCell ref="E31:J31"/>
    <mergeCell ref="C33:C38"/>
    <mergeCell ref="E42:J42"/>
    <mergeCell ref="B2:J2"/>
    <mergeCell ref="B4:J4"/>
    <mergeCell ref="E6:J6"/>
    <mergeCell ref="C8:C13"/>
    <mergeCell ref="E17:J17"/>
  </mergeCells>
  <pageMargins left="0.25" right="0.25" top="0.75" bottom="0.75" header="0.3" footer="0.3"/>
  <pageSetup paperSize="9" scale="77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pageSetUpPr fitToPage="1"/>
  </sheetPr>
  <dimension ref="B2:K225"/>
  <sheetViews>
    <sheetView zoomScale="85" zoomScaleNormal="85" workbookViewId="0">
      <selection activeCell="E8" sqref="E8"/>
    </sheetView>
  </sheetViews>
  <sheetFormatPr defaultColWidth="8.85546875" defaultRowHeight="15" x14ac:dyDescent="0.25"/>
  <cols>
    <col min="1" max="3" width="8.85546875" style="3"/>
    <col min="4" max="11" width="12.7109375" style="3" customWidth="1"/>
    <col min="12" max="16384" width="8.85546875" style="3"/>
  </cols>
  <sheetData>
    <row r="2" spans="2:10" ht="21" x14ac:dyDescent="0.3">
      <c r="B2" s="243" t="s">
        <v>124</v>
      </c>
      <c r="C2" s="243"/>
      <c r="D2" s="243"/>
      <c r="E2" s="243"/>
      <c r="F2" s="243"/>
      <c r="G2" s="243"/>
      <c r="H2" s="243"/>
      <c r="I2" s="243"/>
      <c r="J2" s="243"/>
    </row>
    <row r="4" spans="2:10" ht="15.6" x14ac:dyDescent="0.3">
      <c r="B4" s="239" t="s">
        <v>13</v>
      </c>
      <c r="C4" s="239"/>
      <c r="D4" s="239"/>
      <c r="E4" s="239"/>
      <c r="F4" s="239"/>
      <c r="G4" s="239"/>
      <c r="H4" s="239"/>
      <c r="I4" s="239"/>
      <c r="J4" s="239"/>
    </row>
    <row r="6" spans="2:10" ht="14.45" x14ac:dyDescent="0.3">
      <c r="E6" s="241" t="s">
        <v>15</v>
      </c>
      <c r="F6" s="241"/>
      <c r="G6" s="241"/>
      <c r="H6" s="241"/>
      <c r="I6" s="241"/>
      <c r="J6" s="241"/>
    </row>
    <row r="7" spans="2:10" thickBot="1" x14ac:dyDescent="0.35">
      <c r="E7" s="1" t="s">
        <v>1</v>
      </c>
      <c r="F7" s="2" t="s">
        <v>2</v>
      </c>
      <c r="G7" s="2" t="s">
        <v>3</v>
      </c>
      <c r="H7" s="2" t="s">
        <v>4</v>
      </c>
      <c r="I7" s="2" t="s">
        <v>5</v>
      </c>
      <c r="J7" s="2" t="s">
        <v>6</v>
      </c>
    </row>
    <row r="8" spans="2:10" ht="15" customHeight="1" x14ac:dyDescent="0.25">
      <c r="C8" s="242" t="s">
        <v>12</v>
      </c>
      <c r="D8" s="1" t="s">
        <v>1</v>
      </c>
      <c r="E8" s="130">
        <v>1.833</v>
      </c>
      <c r="F8" s="131"/>
      <c r="G8" s="131">
        <v>21</v>
      </c>
      <c r="H8" s="131"/>
      <c r="I8" s="131"/>
      <c r="J8" s="132"/>
    </row>
    <row r="9" spans="2:10" x14ac:dyDescent="0.25">
      <c r="C9" s="242"/>
      <c r="D9" s="2" t="s">
        <v>7</v>
      </c>
      <c r="E9" s="133">
        <v>6.0830000000000002</v>
      </c>
      <c r="F9" s="134">
        <v>52.5</v>
      </c>
      <c r="G9" s="134">
        <v>39.415999999999997</v>
      </c>
      <c r="H9" s="134">
        <v>25</v>
      </c>
      <c r="I9" s="134">
        <v>37</v>
      </c>
      <c r="J9" s="135"/>
    </row>
    <row r="10" spans="2:10" x14ac:dyDescent="0.25">
      <c r="C10" s="242"/>
      <c r="D10" s="2" t="s">
        <v>8</v>
      </c>
      <c r="E10" s="133"/>
      <c r="F10" s="134"/>
      <c r="G10" s="134"/>
      <c r="H10" s="134"/>
      <c r="I10" s="134"/>
      <c r="J10" s="135"/>
    </row>
    <row r="11" spans="2:10" x14ac:dyDescent="0.25">
      <c r="C11" s="242"/>
      <c r="D11" s="2" t="s">
        <v>9</v>
      </c>
      <c r="E11" s="133"/>
      <c r="F11" s="134"/>
      <c r="G11" s="134"/>
      <c r="H11" s="134"/>
      <c r="I11" s="134"/>
      <c r="J11" s="135"/>
    </row>
    <row r="12" spans="2:10" x14ac:dyDescent="0.25">
      <c r="C12" s="242"/>
      <c r="D12" s="2" t="s">
        <v>10</v>
      </c>
      <c r="E12" s="133">
        <v>4.5</v>
      </c>
      <c r="F12" s="134"/>
      <c r="G12" s="134">
        <v>41.082999999999998</v>
      </c>
      <c r="H12" s="134"/>
      <c r="I12" s="134"/>
      <c r="J12" s="135"/>
    </row>
    <row r="13" spans="2:10" ht="15.75" thickBot="1" x14ac:dyDescent="0.3">
      <c r="C13" s="242"/>
      <c r="D13" s="2" t="s">
        <v>11</v>
      </c>
      <c r="E13" s="136"/>
      <c r="F13" s="137"/>
      <c r="G13" s="137"/>
      <c r="H13" s="137"/>
      <c r="I13" s="137"/>
      <c r="J13" s="138"/>
    </row>
    <row r="17" spans="2:11" ht="14.45" x14ac:dyDescent="0.3">
      <c r="E17" s="241" t="s">
        <v>14</v>
      </c>
      <c r="F17" s="241"/>
      <c r="G17" s="241"/>
      <c r="H17" s="241"/>
      <c r="I17" s="241"/>
      <c r="J17" s="241"/>
    </row>
    <row r="18" spans="2:11" thickBot="1" x14ac:dyDescent="0.35">
      <c r="E18" s="1" t="s">
        <v>1</v>
      </c>
      <c r="F18" s="2" t="s">
        <v>2</v>
      </c>
      <c r="G18" s="2" t="s">
        <v>3</v>
      </c>
      <c r="H18" s="2" t="s">
        <v>4</v>
      </c>
      <c r="I18" s="2" t="s">
        <v>5</v>
      </c>
      <c r="J18" s="2" t="s">
        <v>6</v>
      </c>
      <c r="K18" s="198" t="s">
        <v>175</v>
      </c>
    </row>
    <row r="19" spans="2:11" ht="15" customHeight="1" x14ac:dyDescent="0.25">
      <c r="C19" s="242" t="s">
        <v>12</v>
      </c>
      <c r="D19" s="1" t="s">
        <v>1</v>
      </c>
      <c r="E19" s="118">
        <v>1</v>
      </c>
      <c r="F19" s="120"/>
      <c r="G19" s="120">
        <v>1</v>
      </c>
      <c r="H19" s="120"/>
      <c r="I19" s="120"/>
      <c r="J19" s="121"/>
      <c r="K19" s="199">
        <v>-4.2499999999999996E-2</v>
      </c>
    </row>
    <row r="20" spans="2:11" x14ac:dyDescent="0.25">
      <c r="C20" s="242"/>
      <c r="D20" s="2" t="s">
        <v>7</v>
      </c>
      <c r="E20" s="126">
        <v>3</v>
      </c>
      <c r="F20" s="124">
        <v>6</v>
      </c>
      <c r="G20" s="124">
        <v>2</v>
      </c>
      <c r="H20" s="124">
        <v>1</v>
      </c>
      <c r="I20" s="124">
        <v>1</v>
      </c>
      <c r="J20" s="125"/>
      <c r="K20" s="199">
        <v>-6.7500000000000004E-2</v>
      </c>
    </row>
    <row r="21" spans="2:11" x14ac:dyDescent="0.25">
      <c r="C21" s="242"/>
      <c r="D21" s="2" t="s">
        <v>8</v>
      </c>
      <c r="E21" s="143"/>
      <c r="F21" s="124"/>
      <c r="G21" s="124"/>
      <c r="H21" s="124"/>
      <c r="I21" s="124"/>
      <c r="J21" s="125"/>
      <c r="K21" s="199">
        <v>-9.2499999999999999E-2</v>
      </c>
    </row>
    <row r="22" spans="2:11" x14ac:dyDescent="0.25">
      <c r="C22" s="242"/>
      <c r="D22" s="2" t="s">
        <v>9</v>
      </c>
      <c r="E22" s="143"/>
      <c r="F22" s="124"/>
      <c r="G22" s="124"/>
      <c r="H22" s="124"/>
      <c r="I22" s="124"/>
      <c r="J22" s="125"/>
      <c r="K22" s="199">
        <v>-0.11750000000000001</v>
      </c>
    </row>
    <row r="23" spans="2:11" x14ac:dyDescent="0.25">
      <c r="C23" s="242"/>
      <c r="D23" s="2" t="s">
        <v>10</v>
      </c>
      <c r="E23" s="143">
        <v>1</v>
      </c>
      <c r="F23" s="124"/>
      <c r="G23" s="124">
        <v>2</v>
      </c>
      <c r="H23" s="124"/>
      <c r="I23" s="124"/>
      <c r="J23" s="125"/>
      <c r="K23" s="199">
        <v>-0.14250000000000002</v>
      </c>
    </row>
    <row r="24" spans="2:11" ht="15.75" thickBot="1" x14ac:dyDescent="0.3">
      <c r="C24" s="242"/>
      <c r="D24" s="2" t="s">
        <v>11</v>
      </c>
      <c r="E24" s="127"/>
      <c r="F24" s="128"/>
      <c r="G24" s="128"/>
      <c r="H24" s="128"/>
      <c r="I24" s="128"/>
      <c r="J24" s="129"/>
      <c r="K24" s="199">
        <v>-0.18625</v>
      </c>
    </row>
    <row r="25" spans="2:11" ht="14.45" x14ac:dyDescent="0.3">
      <c r="D25" s="194" t="s">
        <v>173</v>
      </c>
      <c r="E25" s="195">
        <v>6.7</v>
      </c>
      <c r="F25" s="195">
        <v>3.4</v>
      </c>
      <c r="G25" s="195">
        <v>2.4</v>
      </c>
      <c r="H25" s="195">
        <v>1.9</v>
      </c>
      <c r="I25" s="195">
        <v>1.6</v>
      </c>
      <c r="J25" s="195">
        <v>1.3</v>
      </c>
      <c r="K25" s="152"/>
    </row>
    <row r="26" spans="2:11" ht="14.45" x14ac:dyDescent="0.3">
      <c r="K26" s="152"/>
    </row>
    <row r="27" spans="2:11" ht="14.45" x14ac:dyDescent="0.3">
      <c r="K27" s="152"/>
    </row>
    <row r="28" spans="2:11" ht="14.45" x14ac:dyDescent="0.3">
      <c r="K28" s="152"/>
    </row>
    <row r="29" spans="2:11" ht="15.6" x14ac:dyDescent="0.3">
      <c r="B29" s="239" t="s">
        <v>16</v>
      </c>
      <c r="C29" s="239"/>
      <c r="D29" s="239"/>
      <c r="E29" s="239"/>
      <c r="F29" s="239"/>
      <c r="G29" s="239"/>
      <c r="H29" s="239"/>
      <c r="I29" s="239"/>
      <c r="J29" s="239"/>
      <c r="K29" s="152"/>
    </row>
    <row r="30" spans="2:11" ht="14.45" x14ac:dyDescent="0.3">
      <c r="K30" s="152"/>
    </row>
    <row r="31" spans="2:11" ht="14.45" x14ac:dyDescent="0.3">
      <c r="E31" s="241" t="s">
        <v>15</v>
      </c>
      <c r="F31" s="241"/>
      <c r="G31" s="241"/>
      <c r="H31" s="241"/>
      <c r="I31" s="241"/>
      <c r="J31" s="241"/>
      <c r="K31" s="152"/>
    </row>
    <row r="32" spans="2:11" thickBot="1" x14ac:dyDescent="0.35">
      <c r="E32" s="1" t="s">
        <v>20</v>
      </c>
      <c r="F32" s="2" t="s">
        <v>21</v>
      </c>
      <c r="G32" s="2" t="s">
        <v>22</v>
      </c>
      <c r="H32" s="2" t="s">
        <v>23</v>
      </c>
      <c r="I32" s="2" t="s">
        <v>24</v>
      </c>
      <c r="J32" s="2" t="s">
        <v>25</v>
      </c>
      <c r="K32" s="152"/>
    </row>
    <row r="33" spans="3:11" ht="15" customHeight="1" x14ac:dyDescent="0.25">
      <c r="C33" s="242" t="s">
        <v>12</v>
      </c>
      <c r="D33" s="1" t="s">
        <v>1</v>
      </c>
      <c r="E33" s="130"/>
      <c r="F33" s="131"/>
      <c r="G33" s="131"/>
      <c r="H33" s="131"/>
      <c r="I33" s="131"/>
      <c r="J33" s="132"/>
      <c r="K33" s="152"/>
    </row>
    <row r="34" spans="3:11" x14ac:dyDescent="0.25">
      <c r="C34" s="242"/>
      <c r="D34" s="2" t="s">
        <v>7</v>
      </c>
      <c r="E34" s="133"/>
      <c r="F34" s="134"/>
      <c r="G34" s="134"/>
      <c r="H34" s="134"/>
      <c r="I34" s="134"/>
      <c r="J34" s="135"/>
      <c r="K34" s="152"/>
    </row>
    <row r="35" spans="3:11" x14ac:dyDescent="0.25">
      <c r="C35" s="242"/>
      <c r="D35" s="2" t="s">
        <v>8</v>
      </c>
      <c r="E35" s="133"/>
      <c r="F35" s="134"/>
      <c r="G35" s="134"/>
      <c r="H35" s="134"/>
      <c r="I35" s="134"/>
      <c r="J35" s="135"/>
      <c r="K35" s="152"/>
    </row>
    <row r="36" spans="3:11" x14ac:dyDescent="0.25">
      <c r="C36" s="242"/>
      <c r="D36" s="2" t="s">
        <v>9</v>
      </c>
      <c r="E36" s="133"/>
      <c r="F36" s="134"/>
      <c r="G36" s="134"/>
      <c r="H36" s="134"/>
      <c r="I36" s="134"/>
      <c r="J36" s="135"/>
      <c r="K36" s="152"/>
    </row>
    <row r="37" spans="3:11" x14ac:dyDescent="0.25">
      <c r="C37" s="242"/>
      <c r="D37" s="2" t="s">
        <v>10</v>
      </c>
      <c r="E37" s="133"/>
      <c r="F37" s="134"/>
      <c r="G37" s="134"/>
      <c r="H37" s="134"/>
      <c r="I37" s="134"/>
      <c r="J37" s="135"/>
      <c r="K37" s="152"/>
    </row>
    <row r="38" spans="3:11" ht="15.75" thickBot="1" x14ac:dyDescent="0.3">
      <c r="C38" s="242"/>
      <c r="D38" s="2" t="s">
        <v>11</v>
      </c>
      <c r="E38" s="136"/>
      <c r="F38" s="137"/>
      <c r="G38" s="137"/>
      <c r="H38" s="137"/>
      <c r="I38" s="137"/>
      <c r="J38" s="138"/>
      <c r="K38" s="152"/>
    </row>
    <row r="39" spans="3:11" x14ac:dyDescent="0.25">
      <c r="K39" s="152"/>
    </row>
    <row r="40" spans="3:11" x14ac:dyDescent="0.25">
      <c r="K40" s="152"/>
    </row>
    <row r="41" spans="3:11" x14ac:dyDescent="0.25">
      <c r="K41" s="152"/>
    </row>
    <row r="42" spans="3:11" x14ac:dyDescent="0.25">
      <c r="E42" s="241" t="s">
        <v>14</v>
      </c>
      <c r="F42" s="241"/>
      <c r="G42" s="241"/>
      <c r="H42" s="241"/>
      <c r="I42" s="241"/>
      <c r="J42" s="241"/>
      <c r="K42" s="152"/>
    </row>
    <row r="43" spans="3:11" ht="15.75" thickBot="1" x14ac:dyDescent="0.3">
      <c r="E43" s="1" t="s">
        <v>20</v>
      </c>
      <c r="F43" s="2" t="s">
        <v>21</v>
      </c>
      <c r="G43" s="2" t="s">
        <v>22</v>
      </c>
      <c r="H43" s="2" t="s">
        <v>23</v>
      </c>
      <c r="I43" s="2" t="s">
        <v>24</v>
      </c>
      <c r="J43" s="2" t="s">
        <v>25</v>
      </c>
      <c r="K43" s="198" t="s">
        <v>175</v>
      </c>
    </row>
    <row r="44" spans="3:11" ht="15" customHeight="1" x14ac:dyDescent="0.25">
      <c r="C44" s="242" t="s">
        <v>12</v>
      </c>
      <c r="D44" s="1" t="s">
        <v>1</v>
      </c>
      <c r="E44" s="118"/>
      <c r="F44" s="119"/>
      <c r="G44" s="120"/>
      <c r="H44" s="120"/>
      <c r="I44" s="120"/>
      <c r="J44" s="121"/>
      <c r="K44" s="199">
        <v>-4.2499999999999996E-2</v>
      </c>
    </row>
    <row r="45" spans="3:11" x14ac:dyDescent="0.25">
      <c r="C45" s="242"/>
      <c r="D45" s="2" t="s">
        <v>7</v>
      </c>
      <c r="E45" s="126"/>
      <c r="F45" s="123"/>
      <c r="G45" s="124"/>
      <c r="H45" s="124"/>
      <c r="I45" s="124"/>
      <c r="J45" s="125"/>
      <c r="K45" s="199">
        <v>-6.7500000000000004E-2</v>
      </c>
    </row>
    <row r="46" spans="3:11" x14ac:dyDescent="0.25">
      <c r="C46" s="242"/>
      <c r="D46" s="2" t="s">
        <v>8</v>
      </c>
      <c r="E46" s="143"/>
      <c r="F46" s="124"/>
      <c r="G46" s="124"/>
      <c r="H46" s="124"/>
      <c r="I46" s="124"/>
      <c r="J46" s="125"/>
      <c r="K46" s="199">
        <v>-9.2499999999999999E-2</v>
      </c>
    </row>
    <row r="47" spans="3:11" x14ac:dyDescent="0.25">
      <c r="C47" s="242"/>
      <c r="D47" s="2" t="s">
        <v>9</v>
      </c>
      <c r="E47" s="143"/>
      <c r="F47" s="124"/>
      <c r="G47" s="124"/>
      <c r="H47" s="124"/>
      <c r="I47" s="124"/>
      <c r="J47" s="125"/>
      <c r="K47" s="199">
        <v>-0.11750000000000001</v>
      </c>
    </row>
    <row r="48" spans="3:11" x14ac:dyDescent="0.25">
      <c r="C48" s="242"/>
      <c r="D48" s="2" t="s">
        <v>10</v>
      </c>
      <c r="E48" s="143"/>
      <c r="F48" s="124"/>
      <c r="G48" s="124"/>
      <c r="H48" s="124"/>
      <c r="I48" s="124"/>
      <c r="J48" s="125"/>
      <c r="K48" s="199">
        <v>-0.14250000000000002</v>
      </c>
    </row>
    <row r="49" spans="2:11" ht="15.75" thickBot="1" x14ac:dyDescent="0.3">
      <c r="C49" s="242"/>
      <c r="D49" s="2" t="s">
        <v>11</v>
      </c>
      <c r="E49" s="127"/>
      <c r="F49" s="128"/>
      <c r="G49" s="128"/>
      <c r="H49" s="128"/>
      <c r="I49" s="128"/>
      <c r="J49" s="129"/>
      <c r="K49" s="199">
        <v>-0.18625</v>
      </c>
    </row>
    <row r="50" spans="2:11" x14ac:dyDescent="0.25">
      <c r="D50" s="194" t="s">
        <v>173</v>
      </c>
      <c r="E50" s="195">
        <v>9.6999999999999993</v>
      </c>
      <c r="F50" s="195">
        <v>5.7</v>
      </c>
      <c r="G50" s="195">
        <v>4.4000000000000004</v>
      </c>
      <c r="H50" s="195">
        <v>3.7</v>
      </c>
      <c r="I50" s="195">
        <v>3.3</v>
      </c>
      <c r="J50" s="195">
        <v>2.8</v>
      </c>
      <c r="K50" s="152"/>
    </row>
    <row r="51" spans="2:11" x14ac:dyDescent="0.25">
      <c r="K51" s="152"/>
    </row>
    <row r="52" spans="2:11" x14ac:dyDescent="0.25">
      <c r="K52" s="152"/>
    </row>
    <row r="53" spans="2:11" x14ac:dyDescent="0.25">
      <c r="K53" s="152"/>
    </row>
    <row r="54" spans="2:11" ht="15.75" x14ac:dyDescent="0.25">
      <c r="B54" s="239" t="s">
        <v>17</v>
      </c>
      <c r="C54" s="239"/>
      <c r="D54" s="239"/>
      <c r="E54" s="239"/>
      <c r="F54" s="239"/>
      <c r="G54" s="239"/>
      <c r="H54" s="239"/>
      <c r="I54" s="239"/>
      <c r="J54" s="239"/>
      <c r="K54" s="152"/>
    </row>
    <row r="55" spans="2:11" x14ac:dyDescent="0.25">
      <c r="B55" s="152"/>
      <c r="C55" s="152"/>
      <c r="D55" s="152"/>
      <c r="E55" s="152"/>
      <c r="F55" s="152"/>
      <c r="G55" s="152"/>
      <c r="H55" s="152"/>
      <c r="I55" s="152"/>
      <c r="J55" s="152"/>
      <c r="K55" s="152"/>
    </row>
    <row r="56" spans="2:11" x14ac:dyDescent="0.25">
      <c r="B56" s="152"/>
      <c r="C56" s="152"/>
      <c r="D56" s="152"/>
      <c r="E56" s="238" t="s">
        <v>152</v>
      </c>
      <c r="F56" s="238"/>
      <c r="G56" s="238"/>
      <c r="H56" s="238"/>
      <c r="I56" s="238"/>
      <c r="J56" s="238"/>
      <c r="K56" s="152"/>
    </row>
    <row r="57" spans="2:11" ht="15.75" thickBot="1" x14ac:dyDescent="0.3">
      <c r="B57" s="152"/>
      <c r="C57" s="152"/>
      <c r="D57" s="152"/>
      <c r="E57" s="153" t="s">
        <v>26</v>
      </c>
      <c r="F57" s="154" t="s">
        <v>27</v>
      </c>
      <c r="G57" s="154" t="s">
        <v>28</v>
      </c>
      <c r="H57" s="154" t="s">
        <v>29</v>
      </c>
      <c r="I57" s="154" t="s">
        <v>30</v>
      </c>
      <c r="J57" s="154" t="s">
        <v>31</v>
      </c>
      <c r="K57" s="152"/>
    </row>
    <row r="58" spans="2:11" ht="15" customHeight="1" x14ac:dyDescent="0.25">
      <c r="B58" s="152"/>
      <c r="C58" s="237" t="s">
        <v>12</v>
      </c>
      <c r="D58" s="153" t="s">
        <v>1</v>
      </c>
      <c r="E58" s="130"/>
      <c r="F58" s="131"/>
      <c r="G58" s="131"/>
      <c r="H58" s="131"/>
      <c r="I58" s="131"/>
      <c r="J58" s="132"/>
      <c r="K58" s="152"/>
    </row>
    <row r="59" spans="2:11" x14ac:dyDescent="0.25">
      <c r="B59" s="152"/>
      <c r="C59" s="237"/>
      <c r="D59" s="154" t="s">
        <v>7</v>
      </c>
      <c r="E59" s="133"/>
      <c r="F59" s="134"/>
      <c r="G59" s="134"/>
      <c r="H59" s="134"/>
      <c r="I59" s="134"/>
      <c r="J59" s="135"/>
      <c r="K59" s="152"/>
    </row>
    <row r="60" spans="2:11" x14ac:dyDescent="0.25">
      <c r="B60" s="152"/>
      <c r="C60" s="237"/>
      <c r="D60" s="154" t="s">
        <v>8</v>
      </c>
      <c r="E60" s="133"/>
      <c r="F60" s="134"/>
      <c r="G60" s="134"/>
      <c r="H60" s="134"/>
      <c r="I60" s="134"/>
      <c r="J60" s="135"/>
      <c r="K60" s="152"/>
    </row>
    <row r="61" spans="2:11" x14ac:dyDescent="0.25">
      <c r="B61" s="152"/>
      <c r="C61" s="237"/>
      <c r="D61" s="154" t="s">
        <v>9</v>
      </c>
      <c r="E61" s="133"/>
      <c r="F61" s="134"/>
      <c r="G61" s="134"/>
      <c r="H61" s="134"/>
      <c r="I61" s="134"/>
      <c r="J61" s="135"/>
      <c r="K61" s="152"/>
    </row>
    <row r="62" spans="2:11" x14ac:dyDescent="0.25">
      <c r="B62" s="152"/>
      <c r="C62" s="237"/>
      <c r="D62" s="154" t="s">
        <v>10</v>
      </c>
      <c r="E62" s="133"/>
      <c r="F62" s="134"/>
      <c r="G62" s="134"/>
      <c r="H62" s="134"/>
      <c r="I62" s="134"/>
      <c r="J62" s="135"/>
      <c r="K62" s="152"/>
    </row>
    <row r="63" spans="2:11" ht="15.75" thickBot="1" x14ac:dyDescent="0.3">
      <c r="B63" s="152"/>
      <c r="C63" s="237"/>
      <c r="D63" s="154" t="s">
        <v>11</v>
      </c>
      <c r="E63" s="136"/>
      <c r="F63" s="137"/>
      <c r="G63" s="137"/>
      <c r="H63" s="137"/>
      <c r="I63" s="137"/>
      <c r="J63" s="138"/>
      <c r="K63" s="152"/>
    </row>
    <row r="64" spans="2:11" x14ac:dyDescent="0.25">
      <c r="B64" s="152"/>
      <c r="C64" s="152"/>
      <c r="D64" s="152"/>
      <c r="E64" s="152"/>
      <c r="F64" s="152"/>
      <c r="G64" s="152"/>
      <c r="H64" s="152"/>
      <c r="I64" s="152"/>
      <c r="J64" s="152"/>
      <c r="K64" s="152"/>
    </row>
    <row r="65" spans="2:11" x14ac:dyDescent="0.25">
      <c r="B65" s="152"/>
      <c r="C65" s="152"/>
      <c r="D65" s="152"/>
      <c r="E65" s="152"/>
      <c r="F65" s="152"/>
      <c r="G65" s="152"/>
      <c r="H65" s="152"/>
      <c r="I65" s="152"/>
      <c r="J65" s="152"/>
      <c r="K65" s="152"/>
    </row>
    <row r="66" spans="2:11" x14ac:dyDescent="0.25">
      <c r="B66" s="152"/>
      <c r="C66" s="152"/>
      <c r="D66" s="152"/>
      <c r="E66" s="152"/>
      <c r="F66" s="152"/>
      <c r="G66" s="152"/>
      <c r="H66" s="152"/>
      <c r="I66" s="152"/>
      <c r="J66" s="152"/>
      <c r="K66" s="152"/>
    </row>
    <row r="67" spans="2:11" x14ac:dyDescent="0.25">
      <c r="B67" s="152"/>
      <c r="C67" s="152"/>
      <c r="D67" s="152"/>
      <c r="E67" s="238" t="s">
        <v>14</v>
      </c>
      <c r="F67" s="238"/>
      <c r="G67" s="238"/>
      <c r="H67" s="238"/>
      <c r="I67" s="238"/>
      <c r="J67" s="238"/>
      <c r="K67" s="152"/>
    </row>
    <row r="68" spans="2:11" ht="15.75" thickBot="1" x14ac:dyDescent="0.3">
      <c r="B68" s="152"/>
      <c r="C68" s="152"/>
      <c r="D68" s="152"/>
      <c r="E68" s="153" t="s">
        <v>26</v>
      </c>
      <c r="F68" s="154" t="s">
        <v>27</v>
      </c>
      <c r="G68" s="154" t="s">
        <v>28</v>
      </c>
      <c r="H68" s="154" t="s">
        <v>29</v>
      </c>
      <c r="I68" s="154" t="s">
        <v>30</v>
      </c>
      <c r="J68" s="154" t="s">
        <v>31</v>
      </c>
      <c r="K68" s="198" t="s">
        <v>175</v>
      </c>
    </row>
    <row r="69" spans="2:11" ht="15" customHeight="1" x14ac:dyDescent="0.25">
      <c r="B69" s="152"/>
      <c r="C69" s="237" t="s">
        <v>12</v>
      </c>
      <c r="D69" s="153" t="s">
        <v>1</v>
      </c>
      <c r="E69" s="118"/>
      <c r="F69" s="119"/>
      <c r="G69" s="119"/>
      <c r="H69" s="119"/>
      <c r="I69" s="119"/>
      <c r="J69" s="121"/>
      <c r="K69" s="199">
        <v>-2.2499999999999999E-2</v>
      </c>
    </row>
    <row r="70" spans="2:11" x14ac:dyDescent="0.25">
      <c r="B70" s="152"/>
      <c r="C70" s="237"/>
      <c r="D70" s="154" t="s">
        <v>7</v>
      </c>
      <c r="E70" s="122"/>
      <c r="F70" s="123"/>
      <c r="G70" s="123"/>
      <c r="H70" s="123"/>
      <c r="I70" s="123"/>
      <c r="J70" s="125"/>
      <c r="K70" s="199">
        <v>-4.7500000000000001E-2</v>
      </c>
    </row>
    <row r="71" spans="2:11" x14ac:dyDescent="0.25">
      <c r="B71" s="152"/>
      <c r="C71" s="237"/>
      <c r="D71" s="154" t="s">
        <v>8</v>
      </c>
      <c r="E71" s="122"/>
      <c r="F71" s="124"/>
      <c r="G71" s="124"/>
      <c r="H71" s="124"/>
      <c r="I71" s="124"/>
      <c r="J71" s="125"/>
      <c r="K71" s="199">
        <v>-7.2499999999999995E-2</v>
      </c>
    </row>
    <row r="72" spans="2:11" x14ac:dyDescent="0.25">
      <c r="B72" s="152"/>
      <c r="C72" s="237"/>
      <c r="D72" s="154" t="s">
        <v>9</v>
      </c>
      <c r="E72" s="126"/>
      <c r="F72" s="124"/>
      <c r="G72" s="124"/>
      <c r="H72" s="124"/>
      <c r="I72" s="124"/>
      <c r="J72" s="125"/>
      <c r="K72" s="199">
        <v>-9.7500000000000003E-2</v>
      </c>
    </row>
    <row r="73" spans="2:11" x14ac:dyDescent="0.25">
      <c r="B73" s="152"/>
      <c r="C73" s="237"/>
      <c r="D73" s="154" t="s">
        <v>10</v>
      </c>
      <c r="E73" s="143"/>
      <c r="F73" s="124"/>
      <c r="G73" s="124"/>
      <c r="H73" s="124"/>
      <c r="I73" s="124"/>
      <c r="J73" s="125"/>
      <c r="K73" s="199">
        <v>-0.1225</v>
      </c>
    </row>
    <row r="74" spans="2:11" ht="15.75" thickBot="1" x14ac:dyDescent="0.3">
      <c r="B74" s="152"/>
      <c r="C74" s="237"/>
      <c r="D74" s="154" t="s">
        <v>11</v>
      </c>
      <c r="E74" s="127"/>
      <c r="F74" s="128"/>
      <c r="G74" s="128"/>
      <c r="H74" s="128"/>
      <c r="I74" s="128"/>
      <c r="J74" s="129"/>
      <c r="K74" s="199">
        <v>-0.16625000000000001</v>
      </c>
    </row>
    <row r="75" spans="2:11" x14ac:dyDescent="0.25">
      <c r="B75" s="152"/>
      <c r="C75" s="152"/>
      <c r="D75" s="194" t="s">
        <v>173</v>
      </c>
      <c r="E75" s="195">
        <v>16</v>
      </c>
      <c r="F75" s="195">
        <v>9.3000000000000007</v>
      </c>
      <c r="G75" s="195">
        <v>7.2</v>
      </c>
      <c r="H75" s="195">
        <v>6.1</v>
      </c>
      <c r="I75" s="195">
        <v>5.4</v>
      </c>
      <c r="J75" s="195">
        <v>4.5999999999999996</v>
      </c>
      <c r="K75" s="152"/>
    </row>
    <row r="76" spans="2:11" x14ac:dyDescent="0.25">
      <c r="B76" s="152"/>
      <c r="C76" s="152"/>
      <c r="D76" s="152"/>
      <c r="E76" s="152"/>
      <c r="F76" s="152"/>
      <c r="G76" s="152"/>
      <c r="H76" s="152"/>
      <c r="I76" s="152"/>
      <c r="J76" s="152"/>
      <c r="K76" s="152"/>
    </row>
    <row r="77" spans="2:11" x14ac:dyDescent="0.25">
      <c r="B77" s="152"/>
      <c r="C77" s="152"/>
      <c r="D77" s="152"/>
      <c r="E77" s="152"/>
      <c r="F77" s="152"/>
      <c r="G77" s="152"/>
      <c r="H77" s="152"/>
      <c r="I77" s="152"/>
      <c r="J77" s="152"/>
      <c r="K77" s="152"/>
    </row>
    <row r="78" spans="2:11" x14ac:dyDescent="0.25">
      <c r="B78" s="152"/>
      <c r="C78" s="152"/>
      <c r="D78" s="152"/>
      <c r="E78" s="152"/>
      <c r="F78" s="152"/>
      <c r="G78" s="152"/>
      <c r="H78" s="152"/>
      <c r="I78" s="152"/>
      <c r="J78" s="152"/>
      <c r="K78" s="152"/>
    </row>
    <row r="79" spans="2:11" ht="15.75" x14ac:dyDescent="0.25">
      <c r="B79" s="239" t="s">
        <v>18</v>
      </c>
      <c r="C79" s="239"/>
      <c r="D79" s="239"/>
      <c r="E79" s="239"/>
      <c r="F79" s="239"/>
      <c r="G79" s="239"/>
      <c r="H79" s="239"/>
      <c r="I79" s="239"/>
      <c r="J79" s="239"/>
      <c r="K79" s="152"/>
    </row>
    <row r="80" spans="2:11" x14ac:dyDescent="0.25">
      <c r="B80" s="152"/>
      <c r="C80" s="152"/>
      <c r="D80" s="152"/>
      <c r="E80" s="152"/>
      <c r="F80" s="152"/>
      <c r="G80" s="152"/>
      <c r="H80" s="152"/>
      <c r="I80" s="152"/>
      <c r="J80" s="152"/>
      <c r="K80" s="152"/>
    </row>
    <row r="81" spans="2:11" x14ac:dyDescent="0.25">
      <c r="B81" s="152"/>
      <c r="C81" s="152"/>
      <c r="D81" s="152"/>
      <c r="E81" s="238" t="s">
        <v>152</v>
      </c>
      <c r="F81" s="238"/>
      <c r="G81" s="238"/>
      <c r="H81" s="238"/>
      <c r="I81" s="238"/>
      <c r="J81" s="238"/>
      <c r="K81" s="152"/>
    </row>
    <row r="82" spans="2:11" ht="15.75" thickBot="1" x14ac:dyDescent="0.3">
      <c r="B82" s="152"/>
      <c r="C82" s="152"/>
      <c r="D82" s="152"/>
      <c r="E82" s="153" t="s">
        <v>32</v>
      </c>
      <c r="F82" s="154" t="s">
        <v>33</v>
      </c>
      <c r="G82" s="154" t="s">
        <v>34</v>
      </c>
      <c r="H82" s="154" t="s">
        <v>35</v>
      </c>
      <c r="I82" s="154" t="s">
        <v>36</v>
      </c>
      <c r="J82" s="154" t="s">
        <v>37</v>
      </c>
      <c r="K82" s="152"/>
    </row>
    <row r="83" spans="2:11" ht="15" customHeight="1" x14ac:dyDescent="0.25">
      <c r="B83" s="152"/>
      <c r="C83" s="237" t="s">
        <v>12</v>
      </c>
      <c r="D83" s="153" t="s">
        <v>1</v>
      </c>
      <c r="E83" s="130"/>
      <c r="F83" s="131"/>
      <c r="G83" s="131"/>
      <c r="H83" s="131"/>
      <c r="I83" s="131"/>
      <c r="J83" s="132"/>
      <c r="K83" s="152"/>
    </row>
    <row r="84" spans="2:11" x14ac:dyDescent="0.25">
      <c r="B84" s="152"/>
      <c r="C84" s="237"/>
      <c r="D84" s="154" t="s">
        <v>7</v>
      </c>
      <c r="E84" s="133"/>
      <c r="F84" s="134"/>
      <c r="G84" s="134"/>
      <c r="H84" s="134"/>
      <c r="I84" s="134"/>
      <c r="J84" s="135"/>
      <c r="K84" s="152"/>
    </row>
    <row r="85" spans="2:11" x14ac:dyDescent="0.25">
      <c r="B85" s="152"/>
      <c r="C85" s="237"/>
      <c r="D85" s="154" t="s">
        <v>8</v>
      </c>
      <c r="E85" s="133"/>
      <c r="F85" s="134"/>
      <c r="G85" s="134"/>
      <c r="H85" s="134"/>
      <c r="I85" s="134"/>
      <c r="J85" s="135"/>
      <c r="K85" s="152"/>
    </row>
    <row r="86" spans="2:11" x14ac:dyDescent="0.25">
      <c r="B86" s="152"/>
      <c r="C86" s="237"/>
      <c r="D86" s="154" t="s">
        <v>9</v>
      </c>
      <c r="E86" s="133"/>
      <c r="F86" s="134"/>
      <c r="G86" s="134"/>
      <c r="H86" s="134"/>
      <c r="I86" s="134"/>
      <c r="J86" s="135"/>
      <c r="K86" s="152"/>
    </row>
    <row r="87" spans="2:11" x14ac:dyDescent="0.25">
      <c r="B87" s="152"/>
      <c r="C87" s="237"/>
      <c r="D87" s="154" t="s">
        <v>10</v>
      </c>
      <c r="E87" s="133"/>
      <c r="F87" s="134"/>
      <c r="G87" s="134"/>
      <c r="H87" s="134"/>
      <c r="I87" s="134"/>
      <c r="J87" s="135"/>
      <c r="K87" s="152"/>
    </row>
    <row r="88" spans="2:11" ht="15.75" thickBot="1" x14ac:dyDescent="0.3">
      <c r="B88" s="152"/>
      <c r="C88" s="237"/>
      <c r="D88" s="154" t="s">
        <v>11</v>
      </c>
      <c r="E88" s="136"/>
      <c r="F88" s="137"/>
      <c r="G88" s="137"/>
      <c r="H88" s="137"/>
      <c r="I88" s="137"/>
      <c r="J88" s="138"/>
      <c r="K88" s="152"/>
    </row>
    <row r="89" spans="2:11" x14ac:dyDescent="0.25">
      <c r="B89" s="152"/>
      <c r="C89" s="152"/>
      <c r="D89" s="152"/>
      <c r="E89" s="152"/>
      <c r="F89" s="152"/>
      <c r="G89" s="152"/>
      <c r="H89" s="152"/>
      <c r="I89" s="152"/>
      <c r="J89" s="152"/>
      <c r="K89" s="152"/>
    </row>
    <row r="90" spans="2:11" x14ac:dyDescent="0.25">
      <c r="B90" s="152"/>
      <c r="C90" s="152"/>
      <c r="D90" s="152"/>
      <c r="E90" s="152"/>
      <c r="F90" s="152"/>
      <c r="G90" s="152"/>
      <c r="H90" s="152"/>
      <c r="I90" s="152"/>
      <c r="J90" s="152"/>
      <c r="K90" s="152"/>
    </row>
    <row r="91" spans="2:11" x14ac:dyDescent="0.25">
      <c r="B91" s="152"/>
      <c r="C91" s="152"/>
      <c r="D91" s="152"/>
      <c r="E91" s="152"/>
      <c r="F91" s="152"/>
      <c r="G91" s="152"/>
      <c r="H91" s="152"/>
      <c r="I91" s="152"/>
      <c r="J91" s="152"/>
      <c r="K91" s="152"/>
    </row>
    <row r="92" spans="2:11" x14ac:dyDescent="0.25">
      <c r="B92" s="152"/>
      <c r="C92" s="152"/>
      <c r="D92" s="152"/>
      <c r="E92" s="238" t="s">
        <v>14</v>
      </c>
      <c r="F92" s="238"/>
      <c r="G92" s="238"/>
      <c r="H92" s="238"/>
      <c r="I92" s="238"/>
      <c r="J92" s="238"/>
      <c r="K92" s="152"/>
    </row>
    <row r="93" spans="2:11" ht="15.75" thickBot="1" x14ac:dyDescent="0.3">
      <c r="B93" s="152"/>
      <c r="C93" s="152"/>
      <c r="D93" s="152"/>
      <c r="E93" s="153" t="s">
        <v>32</v>
      </c>
      <c r="F93" s="154" t="s">
        <v>33</v>
      </c>
      <c r="G93" s="154" t="s">
        <v>34</v>
      </c>
      <c r="H93" s="154" t="s">
        <v>35</v>
      </c>
      <c r="I93" s="154" t="s">
        <v>36</v>
      </c>
      <c r="J93" s="154" t="s">
        <v>37</v>
      </c>
      <c r="K93" s="198" t="s">
        <v>175</v>
      </c>
    </row>
    <row r="94" spans="2:11" ht="15" customHeight="1" x14ac:dyDescent="0.25">
      <c r="B94" s="152"/>
      <c r="C94" s="237" t="s">
        <v>12</v>
      </c>
      <c r="D94" s="153" t="s">
        <v>1</v>
      </c>
      <c r="E94" s="118"/>
      <c r="F94" s="119"/>
      <c r="G94" s="119"/>
      <c r="H94" s="120"/>
      <c r="I94" s="120"/>
      <c r="J94" s="121"/>
      <c r="K94" s="199">
        <v>-2.2499999999999999E-2</v>
      </c>
    </row>
    <row r="95" spans="2:11" x14ac:dyDescent="0.25">
      <c r="B95" s="152"/>
      <c r="C95" s="237"/>
      <c r="D95" s="154" t="s">
        <v>7</v>
      </c>
      <c r="E95" s="122"/>
      <c r="F95" s="123"/>
      <c r="G95" s="123"/>
      <c r="H95" s="124"/>
      <c r="I95" s="124"/>
      <c r="J95" s="125"/>
      <c r="K95" s="199">
        <v>-4.7500000000000001E-2</v>
      </c>
    </row>
    <row r="96" spans="2:11" x14ac:dyDescent="0.25">
      <c r="B96" s="152"/>
      <c r="C96" s="237"/>
      <c r="D96" s="154" t="s">
        <v>8</v>
      </c>
      <c r="E96" s="126"/>
      <c r="F96" s="124"/>
      <c r="G96" s="124"/>
      <c r="H96" s="124"/>
      <c r="I96" s="124"/>
      <c r="J96" s="125"/>
      <c r="K96" s="199">
        <v>-7.2499999999999995E-2</v>
      </c>
    </row>
    <row r="97" spans="2:11" x14ac:dyDescent="0.25">
      <c r="B97" s="152"/>
      <c r="C97" s="237"/>
      <c r="D97" s="154" t="s">
        <v>9</v>
      </c>
      <c r="E97" s="143"/>
      <c r="F97" s="124"/>
      <c r="G97" s="124"/>
      <c r="H97" s="124"/>
      <c r="I97" s="124"/>
      <c r="J97" s="125"/>
      <c r="K97" s="199">
        <v>-9.7500000000000003E-2</v>
      </c>
    </row>
    <row r="98" spans="2:11" x14ac:dyDescent="0.25">
      <c r="B98" s="152"/>
      <c r="C98" s="237"/>
      <c r="D98" s="154" t="s">
        <v>10</v>
      </c>
      <c r="E98" s="143"/>
      <c r="F98" s="124"/>
      <c r="G98" s="124"/>
      <c r="H98" s="124"/>
      <c r="I98" s="124"/>
      <c r="J98" s="125"/>
      <c r="K98" s="199">
        <v>-0.1225</v>
      </c>
    </row>
    <row r="99" spans="2:11" ht="15.75" thickBot="1" x14ac:dyDescent="0.3">
      <c r="B99" s="152"/>
      <c r="C99" s="237"/>
      <c r="D99" s="154" t="s">
        <v>11</v>
      </c>
      <c r="E99" s="127"/>
      <c r="F99" s="128"/>
      <c r="G99" s="128"/>
      <c r="H99" s="128"/>
      <c r="I99" s="128"/>
      <c r="J99" s="129"/>
      <c r="K99" s="199">
        <v>-0.16625000000000001</v>
      </c>
    </row>
    <row r="100" spans="2:11" x14ac:dyDescent="0.25">
      <c r="B100" s="152"/>
      <c r="C100" s="152"/>
      <c r="D100" s="194" t="s">
        <v>173</v>
      </c>
      <c r="E100" s="195">
        <v>11.7</v>
      </c>
      <c r="F100" s="195">
        <v>6.8</v>
      </c>
      <c r="G100" s="195">
        <v>5.3</v>
      </c>
      <c r="H100" s="195">
        <v>4.5</v>
      </c>
      <c r="I100" s="195">
        <v>3.9</v>
      </c>
      <c r="J100" s="195">
        <v>3.4</v>
      </c>
      <c r="K100" s="152"/>
    </row>
    <row r="101" spans="2:11" x14ac:dyDescent="0.25">
      <c r="B101" s="152"/>
      <c r="C101" s="152"/>
      <c r="D101" s="152"/>
      <c r="E101" s="152"/>
      <c r="F101" s="152"/>
      <c r="G101" s="152"/>
      <c r="H101" s="152"/>
      <c r="I101" s="152"/>
      <c r="J101" s="152"/>
      <c r="K101" s="152"/>
    </row>
    <row r="102" spans="2:11" x14ac:dyDescent="0.25">
      <c r="B102" s="152"/>
      <c r="C102" s="152"/>
      <c r="D102" s="152"/>
      <c r="E102" s="152"/>
      <c r="F102" s="152"/>
      <c r="G102" s="152"/>
      <c r="H102" s="152"/>
      <c r="I102" s="152"/>
      <c r="J102" s="152"/>
      <c r="K102" s="152"/>
    </row>
    <row r="103" spans="2:11" x14ac:dyDescent="0.25"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</row>
    <row r="104" spans="2:11" ht="15.75" x14ac:dyDescent="0.25">
      <c r="B104" s="239" t="s">
        <v>19</v>
      </c>
      <c r="C104" s="239"/>
      <c r="D104" s="239"/>
      <c r="E104" s="239"/>
      <c r="F104" s="239"/>
      <c r="G104" s="239"/>
      <c r="H104" s="239"/>
      <c r="I104" s="239"/>
      <c r="J104" s="239"/>
      <c r="K104" s="152"/>
    </row>
    <row r="105" spans="2:11" x14ac:dyDescent="0.25">
      <c r="B105" s="152"/>
      <c r="C105" s="152"/>
      <c r="D105" s="152"/>
      <c r="E105" s="152"/>
      <c r="F105" s="152"/>
      <c r="G105" s="152"/>
      <c r="H105" s="152"/>
      <c r="I105" s="152"/>
      <c r="J105" s="152"/>
      <c r="K105" s="152"/>
    </row>
    <row r="106" spans="2:11" x14ac:dyDescent="0.25">
      <c r="B106" s="152"/>
      <c r="C106" s="152"/>
      <c r="D106" s="152"/>
      <c r="E106" s="238" t="s">
        <v>152</v>
      </c>
      <c r="F106" s="238"/>
      <c r="G106" s="238"/>
      <c r="H106" s="238"/>
      <c r="I106" s="238"/>
      <c r="J106" s="238"/>
      <c r="K106" s="152"/>
    </row>
    <row r="107" spans="2:11" ht="15.75" thickBot="1" x14ac:dyDescent="0.3">
      <c r="B107" s="152"/>
      <c r="C107" s="152"/>
      <c r="D107" s="152"/>
      <c r="E107" s="153" t="s">
        <v>38</v>
      </c>
      <c r="F107" s="154" t="s">
        <v>39</v>
      </c>
      <c r="G107" s="154" t="s">
        <v>40</v>
      </c>
      <c r="H107" s="154" t="s">
        <v>41</v>
      </c>
      <c r="I107" s="154" t="s">
        <v>42</v>
      </c>
      <c r="J107" s="154" t="s">
        <v>43</v>
      </c>
      <c r="K107" s="197"/>
    </row>
    <row r="108" spans="2:11" ht="15" customHeight="1" x14ac:dyDescent="0.25">
      <c r="B108" s="152"/>
      <c r="C108" s="237" t="s">
        <v>12</v>
      </c>
      <c r="D108" s="153" t="s">
        <v>1</v>
      </c>
      <c r="E108" s="130"/>
      <c r="F108" s="131"/>
      <c r="G108" s="131"/>
      <c r="H108" s="131"/>
      <c r="I108" s="131"/>
      <c r="J108" s="132"/>
      <c r="K108" s="196"/>
    </row>
    <row r="109" spans="2:11" x14ac:dyDescent="0.25">
      <c r="B109" s="152"/>
      <c r="C109" s="237"/>
      <c r="D109" s="154" t="s">
        <v>7</v>
      </c>
      <c r="E109" s="133"/>
      <c r="F109" s="134"/>
      <c r="G109" s="134"/>
      <c r="H109" s="134"/>
      <c r="I109" s="134"/>
      <c r="J109" s="135"/>
      <c r="K109" s="196"/>
    </row>
    <row r="110" spans="2:11" x14ac:dyDescent="0.25">
      <c r="B110" s="152"/>
      <c r="C110" s="237"/>
      <c r="D110" s="154" t="s">
        <v>8</v>
      </c>
      <c r="E110" s="133"/>
      <c r="F110" s="134"/>
      <c r="G110" s="134"/>
      <c r="H110" s="134"/>
      <c r="I110" s="134"/>
      <c r="J110" s="135"/>
      <c r="K110" s="196"/>
    </row>
    <row r="111" spans="2:11" x14ac:dyDescent="0.25">
      <c r="B111" s="152"/>
      <c r="C111" s="237"/>
      <c r="D111" s="154" t="s">
        <v>9</v>
      </c>
      <c r="E111" s="133"/>
      <c r="F111" s="134"/>
      <c r="G111" s="134"/>
      <c r="H111" s="134"/>
      <c r="I111" s="134"/>
      <c r="J111" s="135"/>
      <c r="K111" s="196"/>
    </row>
    <row r="112" spans="2:11" x14ac:dyDescent="0.25">
      <c r="B112" s="152"/>
      <c r="C112" s="237"/>
      <c r="D112" s="154" t="s">
        <v>10</v>
      </c>
      <c r="E112" s="133"/>
      <c r="F112" s="134"/>
      <c r="G112" s="134"/>
      <c r="H112" s="134"/>
      <c r="I112" s="134"/>
      <c r="J112" s="135"/>
      <c r="K112" s="196"/>
    </row>
    <row r="113" spans="2:11" ht="15.75" thickBot="1" x14ac:dyDescent="0.3">
      <c r="B113" s="152"/>
      <c r="C113" s="237"/>
      <c r="D113" s="154" t="s">
        <v>11</v>
      </c>
      <c r="E113" s="136"/>
      <c r="F113" s="137"/>
      <c r="G113" s="137"/>
      <c r="H113" s="137"/>
      <c r="I113" s="137"/>
      <c r="J113" s="138"/>
      <c r="K113" s="196"/>
    </row>
    <row r="114" spans="2:11" x14ac:dyDescent="0.25">
      <c r="B114" s="152"/>
      <c r="C114" s="152"/>
      <c r="D114" s="152"/>
      <c r="E114" s="152"/>
      <c r="F114" s="152"/>
      <c r="G114" s="152"/>
      <c r="H114" s="152"/>
      <c r="I114" s="152"/>
      <c r="J114" s="152"/>
      <c r="K114" s="152"/>
    </row>
    <row r="115" spans="2:11" x14ac:dyDescent="0.25">
      <c r="B115" s="152"/>
      <c r="C115" s="152"/>
      <c r="D115" s="152"/>
      <c r="E115" s="152"/>
      <c r="F115" s="152"/>
      <c r="G115" s="152"/>
      <c r="H115" s="152"/>
      <c r="I115" s="152"/>
      <c r="J115" s="152"/>
      <c r="K115" s="152"/>
    </row>
    <row r="116" spans="2:11" x14ac:dyDescent="0.25">
      <c r="B116" s="152"/>
      <c r="C116" s="152"/>
      <c r="D116" s="152"/>
      <c r="E116" s="152"/>
      <c r="F116" s="152"/>
      <c r="G116" s="152"/>
      <c r="H116" s="152"/>
      <c r="I116" s="152"/>
      <c r="J116" s="152"/>
      <c r="K116" s="152"/>
    </row>
    <row r="117" spans="2:11" x14ac:dyDescent="0.25">
      <c r="B117" s="152"/>
      <c r="C117" s="152"/>
      <c r="D117" s="152"/>
      <c r="E117" s="238" t="s">
        <v>14</v>
      </c>
      <c r="F117" s="238"/>
      <c r="G117" s="238"/>
      <c r="H117" s="238"/>
      <c r="I117" s="238"/>
      <c r="J117" s="238"/>
      <c r="K117" s="152"/>
    </row>
    <row r="118" spans="2:11" ht="15.75" thickBot="1" x14ac:dyDescent="0.3">
      <c r="B118" s="152"/>
      <c r="C118" s="152"/>
      <c r="D118" s="152"/>
      <c r="E118" s="153" t="s">
        <v>38</v>
      </c>
      <c r="F118" s="154" t="s">
        <v>39</v>
      </c>
      <c r="G118" s="154" t="s">
        <v>40</v>
      </c>
      <c r="H118" s="154" t="s">
        <v>41</v>
      </c>
      <c r="I118" s="154" t="s">
        <v>42</v>
      </c>
      <c r="J118" s="154" t="s">
        <v>43</v>
      </c>
      <c r="K118" s="198" t="s">
        <v>175</v>
      </c>
    </row>
    <row r="119" spans="2:11" ht="15" customHeight="1" x14ac:dyDescent="0.25">
      <c r="B119" s="152"/>
      <c r="C119" s="237" t="s">
        <v>12</v>
      </c>
      <c r="D119" s="153" t="s">
        <v>1</v>
      </c>
      <c r="E119" s="118"/>
      <c r="F119" s="119"/>
      <c r="G119" s="119"/>
      <c r="H119" s="120"/>
      <c r="I119" s="120"/>
      <c r="J119" s="121"/>
      <c r="K119" s="199">
        <v>-1.2500000000000001E-2</v>
      </c>
    </row>
    <row r="120" spans="2:11" x14ac:dyDescent="0.25">
      <c r="B120" s="152"/>
      <c r="C120" s="237"/>
      <c r="D120" s="154" t="s">
        <v>7</v>
      </c>
      <c r="E120" s="122"/>
      <c r="F120" s="123"/>
      <c r="G120" s="123"/>
      <c r="H120" s="124"/>
      <c r="I120" s="124"/>
      <c r="J120" s="125"/>
      <c r="K120" s="199">
        <v>-3.7499999999999999E-2</v>
      </c>
    </row>
    <row r="121" spans="2:11" x14ac:dyDescent="0.25">
      <c r="B121" s="152"/>
      <c r="C121" s="237"/>
      <c r="D121" s="154" t="s">
        <v>8</v>
      </c>
      <c r="E121" s="126"/>
      <c r="F121" s="124"/>
      <c r="G121" s="124"/>
      <c r="H121" s="124"/>
      <c r="I121" s="124"/>
      <c r="J121" s="125"/>
      <c r="K121" s="199">
        <v>-6.25E-2</v>
      </c>
    </row>
    <row r="122" spans="2:11" x14ac:dyDescent="0.25">
      <c r="B122" s="152"/>
      <c r="C122" s="237"/>
      <c r="D122" s="154" t="s">
        <v>9</v>
      </c>
      <c r="E122" s="143"/>
      <c r="F122" s="124"/>
      <c r="G122" s="124"/>
      <c r="H122" s="124"/>
      <c r="I122" s="124"/>
      <c r="J122" s="125"/>
      <c r="K122" s="199">
        <v>-8.7500000000000008E-2</v>
      </c>
    </row>
    <row r="123" spans="2:11" x14ac:dyDescent="0.25">
      <c r="B123" s="152"/>
      <c r="C123" s="237"/>
      <c r="D123" s="154" t="s">
        <v>10</v>
      </c>
      <c r="E123" s="143"/>
      <c r="F123" s="124"/>
      <c r="G123" s="124"/>
      <c r="H123" s="124"/>
      <c r="I123" s="124"/>
      <c r="J123" s="125"/>
      <c r="K123" s="199">
        <v>-0.1125</v>
      </c>
    </row>
    <row r="124" spans="2:11" ht="15.75" thickBot="1" x14ac:dyDescent="0.3">
      <c r="B124" s="152"/>
      <c r="C124" s="237"/>
      <c r="D124" s="154" t="s">
        <v>11</v>
      </c>
      <c r="E124" s="127"/>
      <c r="F124" s="128"/>
      <c r="G124" s="128"/>
      <c r="H124" s="128"/>
      <c r="I124" s="128"/>
      <c r="J124" s="129"/>
      <c r="K124" s="199">
        <v>-0.15625</v>
      </c>
    </row>
    <row r="125" spans="2:11" x14ac:dyDescent="0.25">
      <c r="B125" s="152"/>
      <c r="C125" s="152"/>
      <c r="D125" s="194" t="s">
        <v>173</v>
      </c>
      <c r="E125" s="195">
        <v>11.9</v>
      </c>
      <c r="F125" s="195">
        <v>6.9</v>
      </c>
      <c r="G125" s="195">
        <v>5.4</v>
      </c>
      <c r="H125" s="195">
        <v>4.5</v>
      </c>
      <c r="I125" s="195">
        <v>4</v>
      </c>
      <c r="J125" s="195">
        <v>3.4</v>
      </c>
      <c r="K125" s="152"/>
    </row>
    <row r="126" spans="2:11" x14ac:dyDescent="0.25">
      <c r="B126" s="152"/>
      <c r="C126" s="152"/>
      <c r="D126" s="152"/>
      <c r="E126" s="152"/>
      <c r="F126" s="152"/>
      <c r="G126" s="152"/>
      <c r="H126" s="152"/>
      <c r="I126" s="152"/>
      <c r="J126" s="152"/>
      <c r="K126" s="152"/>
    </row>
    <row r="127" spans="2:11" x14ac:dyDescent="0.25">
      <c r="B127" s="152"/>
      <c r="C127" s="152"/>
      <c r="D127" s="152"/>
      <c r="E127" s="152"/>
      <c r="F127" s="152"/>
      <c r="G127" s="152"/>
      <c r="H127" s="152"/>
      <c r="I127" s="152"/>
      <c r="J127" s="152"/>
      <c r="K127" s="152"/>
    </row>
    <row r="128" spans="2:11" x14ac:dyDescent="0.25">
      <c r="B128" s="152"/>
      <c r="C128" s="152"/>
      <c r="D128" s="152"/>
      <c r="E128" s="152"/>
      <c r="F128" s="152"/>
      <c r="G128" s="152"/>
      <c r="H128" s="152"/>
      <c r="I128" s="152"/>
      <c r="J128" s="152"/>
      <c r="K128" s="152"/>
    </row>
    <row r="129" spans="2:11" ht="15.75" x14ac:dyDescent="0.25">
      <c r="B129" s="239" t="s">
        <v>48</v>
      </c>
      <c r="C129" s="239"/>
      <c r="D129" s="239"/>
      <c r="E129" s="239"/>
      <c r="F129" s="239"/>
      <c r="G129" s="239"/>
      <c r="H129" s="239"/>
      <c r="I129" s="239"/>
      <c r="J129" s="239"/>
      <c r="K129" s="152"/>
    </row>
    <row r="130" spans="2:11" x14ac:dyDescent="0.25">
      <c r="B130" s="152"/>
      <c r="C130" s="152"/>
      <c r="D130" s="152"/>
      <c r="E130" s="152"/>
      <c r="F130" s="152"/>
      <c r="G130" s="152"/>
      <c r="H130" s="152"/>
      <c r="I130" s="152"/>
      <c r="J130" s="152"/>
      <c r="K130" s="152"/>
    </row>
    <row r="131" spans="2:11" x14ac:dyDescent="0.25">
      <c r="B131" s="152"/>
      <c r="C131" s="152"/>
      <c r="D131" s="152"/>
      <c r="E131" s="238" t="s">
        <v>152</v>
      </c>
      <c r="F131" s="238"/>
      <c r="G131" s="238"/>
      <c r="H131" s="238"/>
      <c r="I131" s="238"/>
      <c r="J131" s="238"/>
      <c r="K131" s="152"/>
    </row>
    <row r="132" spans="2:11" ht="15.75" thickBot="1" x14ac:dyDescent="0.3">
      <c r="B132" s="152"/>
      <c r="C132" s="152"/>
      <c r="D132" s="152"/>
      <c r="E132" s="153" t="s">
        <v>127</v>
      </c>
      <c r="F132" s="154" t="s">
        <v>128</v>
      </c>
      <c r="G132" s="154" t="s">
        <v>46</v>
      </c>
      <c r="H132" s="154" t="s">
        <v>47</v>
      </c>
      <c r="I132" s="154" t="s">
        <v>63</v>
      </c>
      <c r="J132" s="154" t="s">
        <v>64</v>
      </c>
      <c r="K132" s="152"/>
    </row>
    <row r="133" spans="2:11" ht="15" customHeight="1" x14ac:dyDescent="0.25">
      <c r="B133" s="152"/>
      <c r="C133" s="237" t="s">
        <v>12</v>
      </c>
      <c r="D133" s="153" t="s">
        <v>1</v>
      </c>
      <c r="E133" s="130"/>
      <c r="F133" s="131"/>
      <c r="G133" s="131"/>
      <c r="H133" s="131"/>
      <c r="I133" s="131"/>
      <c r="J133" s="132"/>
      <c r="K133" s="152"/>
    </row>
    <row r="134" spans="2:11" x14ac:dyDescent="0.25">
      <c r="B134" s="152"/>
      <c r="C134" s="237"/>
      <c r="D134" s="154" t="s">
        <v>7</v>
      </c>
      <c r="E134" s="133"/>
      <c r="F134" s="134"/>
      <c r="G134" s="134"/>
      <c r="H134" s="134"/>
      <c r="I134" s="134"/>
      <c r="J134" s="135"/>
      <c r="K134" s="152"/>
    </row>
    <row r="135" spans="2:11" x14ac:dyDescent="0.25">
      <c r="B135" s="152"/>
      <c r="C135" s="237"/>
      <c r="D135" s="154" t="s">
        <v>8</v>
      </c>
      <c r="E135" s="133"/>
      <c r="F135" s="134"/>
      <c r="G135" s="134"/>
      <c r="H135" s="134"/>
      <c r="I135" s="134"/>
      <c r="J135" s="135"/>
      <c r="K135" s="152"/>
    </row>
    <row r="136" spans="2:11" x14ac:dyDescent="0.25">
      <c r="B136" s="152"/>
      <c r="C136" s="237"/>
      <c r="D136" s="154" t="s">
        <v>9</v>
      </c>
      <c r="E136" s="133"/>
      <c r="F136" s="134"/>
      <c r="G136" s="134"/>
      <c r="H136" s="134"/>
      <c r="I136" s="134"/>
      <c r="J136" s="135"/>
      <c r="K136" s="152"/>
    </row>
    <row r="137" spans="2:11" x14ac:dyDescent="0.25">
      <c r="B137" s="152"/>
      <c r="C137" s="237"/>
      <c r="D137" s="154" t="s">
        <v>10</v>
      </c>
      <c r="E137" s="133"/>
      <c r="F137" s="134"/>
      <c r="G137" s="134"/>
      <c r="H137" s="134"/>
      <c r="I137" s="134"/>
      <c r="J137" s="135"/>
      <c r="K137" s="152"/>
    </row>
    <row r="138" spans="2:11" ht="15.75" thickBot="1" x14ac:dyDescent="0.3">
      <c r="B138" s="152"/>
      <c r="C138" s="237"/>
      <c r="D138" s="154" t="s">
        <v>11</v>
      </c>
      <c r="E138" s="136"/>
      <c r="F138" s="137"/>
      <c r="G138" s="137"/>
      <c r="H138" s="137"/>
      <c r="I138" s="137"/>
      <c r="J138" s="138"/>
      <c r="K138" s="152"/>
    </row>
    <row r="139" spans="2:11" x14ac:dyDescent="0.25">
      <c r="B139" s="152"/>
      <c r="C139" s="152"/>
      <c r="D139" s="152"/>
      <c r="E139" s="152"/>
      <c r="F139" s="152"/>
      <c r="G139" s="152"/>
      <c r="H139" s="152"/>
      <c r="I139" s="152"/>
      <c r="J139" s="152"/>
      <c r="K139" s="152"/>
    </row>
    <row r="140" spans="2:11" x14ac:dyDescent="0.25">
      <c r="B140" s="152"/>
      <c r="C140" s="152"/>
      <c r="D140" s="152"/>
      <c r="E140" s="152"/>
      <c r="F140" s="152"/>
      <c r="G140" s="152"/>
      <c r="H140" s="152"/>
      <c r="I140" s="152"/>
      <c r="J140" s="152"/>
      <c r="K140" s="152"/>
    </row>
    <row r="141" spans="2:11" x14ac:dyDescent="0.25">
      <c r="B141" s="152"/>
      <c r="C141" s="152"/>
      <c r="D141" s="152"/>
      <c r="E141" s="152"/>
      <c r="F141" s="152"/>
      <c r="G141" s="152"/>
      <c r="H141" s="152"/>
      <c r="I141" s="152"/>
      <c r="J141" s="152"/>
      <c r="K141" s="152"/>
    </row>
    <row r="142" spans="2:11" x14ac:dyDescent="0.25">
      <c r="B142" s="152"/>
      <c r="C142" s="152"/>
      <c r="D142" s="152"/>
      <c r="E142" s="238" t="s">
        <v>14</v>
      </c>
      <c r="F142" s="238"/>
      <c r="G142" s="238"/>
      <c r="H142" s="238"/>
      <c r="I142" s="238"/>
      <c r="J142" s="238"/>
      <c r="K142" s="152"/>
    </row>
    <row r="143" spans="2:11" ht="15.75" thickBot="1" x14ac:dyDescent="0.3">
      <c r="B143" s="152"/>
      <c r="C143" s="152"/>
      <c r="D143" s="152"/>
      <c r="E143" s="153" t="s">
        <v>127</v>
      </c>
      <c r="F143" s="154" t="s">
        <v>128</v>
      </c>
      <c r="G143" s="154" t="s">
        <v>46</v>
      </c>
      <c r="H143" s="154" t="s">
        <v>47</v>
      </c>
      <c r="I143" s="154" t="s">
        <v>63</v>
      </c>
      <c r="J143" s="154" t="s">
        <v>64</v>
      </c>
      <c r="K143" s="198" t="s">
        <v>175</v>
      </c>
    </row>
    <row r="144" spans="2:11" ht="15" customHeight="1" x14ac:dyDescent="0.25">
      <c r="B144" s="152"/>
      <c r="C144" s="237" t="s">
        <v>12</v>
      </c>
      <c r="D144" s="153" t="s">
        <v>1</v>
      </c>
      <c r="E144" s="202"/>
      <c r="F144" s="120"/>
      <c r="G144" s="120"/>
      <c r="H144" s="120"/>
      <c r="I144" s="120"/>
      <c r="J144" s="121"/>
      <c r="K144" s="199">
        <v>-5.0000000000000001E-3</v>
      </c>
    </row>
    <row r="145" spans="2:11" x14ac:dyDescent="0.25">
      <c r="B145" s="152"/>
      <c r="C145" s="237"/>
      <c r="D145" s="154" t="s">
        <v>7</v>
      </c>
      <c r="E145" s="143"/>
      <c r="F145" s="124"/>
      <c r="G145" s="124"/>
      <c r="H145" s="124"/>
      <c r="I145" s="124"/>
      <c r="J145" s="125"/>
      <c r="K145" s="199">
        <v>-1.4999999999999999E-2</v>
      </c>
    </row>
    <row r="146" spans="2:11" x14ac:dyDescent="0.25">
      <c r="B146" s="152"/>
      <c r="C146" s="237"/>
      <c r="D146" s="154" t="s">
        <v>8</v>
      </c>
      <c r="E146" s="143"/>
      <c r="F146" s="124"/>
      <c r="G146" s="124"/>
      <c r="H146" s="124"/>
      <c r="I146" s="124"/>
      <c r="J146" s="125"/>
      <c r="K146" s="199">
        <v>-2.5000000000000001E-2</v>
      </c>
    </row>
    <row r="147" spans="2:11" x14ac:dyDescent="0.25">
      <c r="B147" s="152"/>
      <c r="C147" s="237"/>
      <c r="D147" s="154" t="s">
        <v>9</v>
      </c>
      <c r="E147" s="143"/>
      <c r="F147" s="124"/>
      <c r="G147" s="124"/>
      <c r="H147" s="124"/>
      <c r="I147" s="124"/>
      <c r="J147" s="125"/>
      <c r="K147" s="199">
        <v>-3.5000000000000003E-2</v>
      </c>
    </row>
    <row r="148" spans="2:11" x14ac:dyDescent="0.25">
      <c r="B148" s="152"/>
      <c r="C148" s="237"/>
      <c r="D148" s="154" t="s">
        <v>10</v>
      </c>
      <c r="E148" s="143"/>
      <c r="F148" s="124"/>
      <c r="G148" s="124"/>
      <c r="H148" s="124"/>
      <c r="I148" s="124"/>
      <c r="J148" s="125"/>
      <c r="K148" s="199">
        <v>-4.4999999999999998E-2</v>
      </c>
    </row>
    <row r="149" spans="2:11" ht="15.75" thickBot="1" x14ac:dyDescent="0.3">
      <c r="B149" s="152"/>
      <c r="C149" s="237"/>
      <c r="D149" s="154" t="s">
        <v>11</v>
      </c>
      <c r="E149" s="127"/>
      <c r="F149" s="128"/>
      <c r="G149" s="128"/>
      <c r="H149" s="128"/>
      <c r="I149" s="128"/>
      <c r="J149" s="129"/>
      <c r="K149" s="199">
        <v>-6.25E-2</v>
      </c>
    </row>
    <row r="150" spans="2:11" x14ac:dyDescent="0.25">
      <c r="B150" s="152"/>
      <c r="C150" s="152"/>
      <c r="D150" s="194" t="s">
        <v>173</v>
      </c>
      <c r="E150" s="195">
        <v>1.7</v>
      </c>
      <c r="F150" s="195">
        <v>0.9</v>
      </c>
      <c r="G150" s="195">
        <v>0.7</v>
      </c>
      <c r="H150" s="195">
        <v>0.5</v>
      </c>
      <c r="I150" s="195">
        <v>0.5</v>
      </c>
      <c r="J150" s="195">
        <v>0.4</v>
      </c>
      <c r="K150" s="152"/>
    </row>
    <row r="151" spans="2:11" x14ac:dyDescent="0.25">
      <c r="B151" s="152"/>
      <c r="C151" s="152"/>
      <c r="D151" s="152"/>
      <c r="E151" s="152"/>
      <c r="F151" s="152"/>
      <c r="G151" s="152"/>
      <c r="H151" s="152"/>
      <c r="I151" s="152"/>
      <c r="J151" s="152"/>
      <c r="K151" s="152"/>
    </row>
    <row r="152" spans="2:11" x14ac:dyDescent="0.25">
      <c r="B152" s="152"/>
      <c r="C152" s="152"/>
      <c r="D152" s="152"/>
      <c r="E152" s="152"/>
      <c r="F152" s="152"/>
      <c r="G152" s="152"/>
      <c r="H152" s="152"/>
      <c r="I152" s="152"/>
      <c r="J152" s="152"/>
      <c r="K152" s="152"/>
    </row>
    <row r="153" spans="2:11" x14ac:dyDescent="0.25">
      <c r="B153" s="152"/>
      <c r="C153" s="152"/>
      <c r="D153" s="152"/>
      <c r="E153" s="152"/>
      <c r="F153" s="152"/>
      <c r="G153" s="152"/>
      <c r="H153" s="152"/>
      <c r="I153" s="152"/>
      <c r="J153" s="152"/>
      <c r="K153" s="152"/>
    </row>
    <row r="154" spans="2:11" ht="15.75" x14ac:dyDescent="0.25">
      <c r="B154" s="239" t="s">
        <v>49</v>
      </c>
      <c r="C154" s="239"/>
      <c r="D154" s="239"/>
      <c r="E154" s="239"/>
      <c r="F154" s="239"/>
      <c r="G154" s="239"/>
      <c r="H154" s="239"/>
      <c r="I154" s="239"/>
      <c r="J154" s="239"/>
      <c r="K154" s="152"/>
    </row>
    <row r="155" spans="2:11" x14ac:dyDescent="0.25">
      <c r="B155" s="152"/>
      <c r="C155" s="152"/>
      <c r="D155" s="152"/>
      <c r="E155" s="152"/>
      <c r="F155" s="152"/>
      <c r="G155" s="152"/>
      <c r="H155" s="152"/>
      <c r="I155" s="152"/>
      <c r="J155" s="152"/>
      <c r="K155" s="152"/>
    </row>
    <row r="156" spans="2:11" x14ac:dyDescent="0.25">
      <c r="B156" s="152"/>
      <c r="C156" s="152"/>
      <c r="D156" s="152"/>
      <c r="E156" s="238" t="s">
        <v>152</v>
      </c>
      <c r="F156" s="238"/>
      <c r="G156" s="238"/>
      <c r="H156" s="238"/>
      <c r="I156" s="238"/>
      <c r="J156" s="238"/>
      <c r="K156" s="152"/>
    </row>
    <row r="157" spans="2:11" ht="15.75" thickBot="1" x14ac:dyDescent="0.3">
      <c r="B157" s="152"/>
      <c r="C157" s="152"/>
      <c r="D157" s="152"/>
      <c r="E157" s="153" t="s">
        <v>44</v>
      </c>
      <c r="F157" s="154" t="s">
        <v>45</v>
      </c>
      <c r="G157" s="154" t="s">
        <v>46</v>
      </c>
      <c r="H157" s="154" t="s">
        <v>47</v>
      </c>
      <c r="I157" s="154" t="s">
        <v>61</v>
      </c>
      <c r="J157" s="154" t="s">
        <v>62</v>
      </c>
      <c r="K157" s="152"/>
    </row>
    <row r="158" spans="2:11" ht="15" customHeight="1" x14ac:dyDescent="0.25">
      <c r="B158" s="152"/>
      <c r="C158" s="237" t="s">
        <v>12</v>
      </c>
      <c r="D158" s="153" t="s">
        <v>1</v>
      </c>
      <c r="E158" s="130"/>
      <c r="F158" s="131"/>
      <c r="G158" s="131"/>
      <c r="H158" s="131"/>
      <c r="I158" s="131"/>
      <c r="J158" s="132"/>
      <c r="K158" s="152"/>
    </row>
    <row r="159" spans="2:11" x14ac:dyDescent="0.25">
      <c r="B159" s="152"/>
      <c r="C159" s="237"/>
      <c r="D159" s="154" t="s">
        <v>7</v>
      </c>
      <c r="E159" s="133"/>
      <c r="F159" s="134"/>
      <c r="G159" s="134"/>
      <c r="H159" s="134"/>
      <c r="I159" s="134"/>
      <c r="J159" s="135"/>
      <c r="K159" s="152"/>
    </row>
    <row r="160" spans="2:11" x14ac:dyDescent="0.25">
      <c r="B160" s="152"/>
      <c r="C160" s="237"/>
      <c r="D160" s="154" t="s">
        <v>8</v>
      </c>
      <c r="E160" s="133"/>
      <c r="F160" s="134"/>
      <c r="G160" s="134"/>
      <c r="H160" s="134"/>
      <c r="I160" s="134"/>
      <c r="J160" s="135"/>
      <c r="K160" s="152"/>
    </row>
    <row r="161" spans="2:11" x14ac:dyDescent="0.25">
      <c r="B161" s="152"/>
      <c r="C161" s="237"/>
      <c r="D161" s="154" t="s">
        <v>9</v>
      </c>
      <c r="E161" s="133"/>
      <c r="F161" s="134"/>
      <c r="G161" s="134"/>
      <c r="H161" s="134"/>
      <c r="I161" s="134"/>
      <c r="J161" s="135"/>
      <c r="K161" s="152"/>
    </row>
    <row r="162" spans="2:11" x14ac:dyDescent="0.25">
      <c r="B162" s="152"/>
      <c r="C162" s="237"/>
      <c r="D162" s="154" t="s">
        <v>10</v>
      </c>
      <c r="E162" s="133"/>
      <c r="F162" s="134"/>
      <c r="G162" s="134"/>
      <c r="H162" s="134"/>
      <c r="I162" s="134"/>
      <c r="J162" s="135"/>
      <c r="K162" s="152"/>
    </row>
    <row r="163" spans="2:11" ht="15.75" thickBot="1" x14ac:dyDescent="0.3">
      <c r="B163" s="152"/>
      <c r="C163" s="237"/>
      <c r="D163" s="154" t="s">
        <v>11</v>
      </c>
      <c r="E163" s="136"/>
      <c r="F163" s="137"/>
      <c r="G163" s="137"/>
      <c r="H163" s="137"/>
      <c r="I163" s="137"/>
      <c r="J163" s="138"/>
      <c r="K163" s="152"/>
    </row>
    <row r="164" spans="2:11" x14ac:dyDescent="0.25">
      <c r="B164" s="152"/>
      <c r="C164" s="152"/>
      <c r="D164" s="152"/>
      <c r="E164" s="152"/>
      <c r="F164" s="152"/>
      <c r="G164" s="152"/>
      <c r="H164" s="152"/>
      <c r="I164" s="152"/>
      <c r="J164" s="152"/>
      <c r="K164" s="152"/>
    </row>
    <row r="165" spans="2:11" x14ac:dyDescent="0.25">
      <c r="B165" s="152"/>
      <c r="C165" s="152"/>
      <c r="D165" s="152"/>
      <c r="E165" s="152"/>
      <c r="F165" s="152"/>
      <c r="G165" s="152"/>
      <c r="H165" s="152"/>
      <c r="I165" s="152"/>
      <c r="J165" s="152"/>
      <c r="K165" s="152"/>
    </row>
    <row r="166" spans="2:11" x14ac:dyDescent="0.25">
      <c r="B166" s="152"/>
      <c r="C166" s="152"/>
      <c r="D166" s="152"/>
      <c r="E166" s="152"/>
      <c r="F166" s="152"/>
      <c r="G166" s="152"/>
      <c r="H166" s="152"/>
      <c r="I166" s="152"/>
      <c r="J166" s="152"/>
      <c r="K166" s="152"/>
    </row>
    <row r="167" spans="2:11" x14ac:dyDescent="0.25">
      <c r="B167" s="152"/>
      <c r="C167" s="152"/>
      <c r="D167" s="152"/>
      <c r="E167" s="238" t="s">
        <v>14</v>
      </c>
      <c r="F167" s="238"/>
      <c r="G167" s="238"/>
      <c r="H167" s="238"/>
      <c r="I167" s="238"/>
      <c r="J167" s="238"/>
      <c r="K167" s="152"/>
    </row>
    <row r="168" spans="2:11" ht="15.75" thickBot="1" x14ac:dyDescent="0.3">
      <c r="B168" s="152"/>
      <c r="C168" s="152"/>
      <c r="D168" s="152"/>
      <c r="E168" s="153" t="s">
        <v>44</v>
      </c>
      <c r="F168" s="154" t="s">
        <v>45</v>
      </c>
      <c r="G168" s="154" t="s">
        <v>46</v>
      </c>
      <c r="H168" s="154" t="s">
        <v>47</v>
      </c>
      <c r="I168" s="154" t="s">
        <v>61</v>
      </c>
      <c r="J168" s="154" t="s">
        <v>62</v>
      </c>
      <c r="K168" s="198" t="s">
        <v>175</v>
      </c>
    </row>
    <row r="169" spans="2:11" ht="15" customHeight="1" x14ac:dyDescent="0.25">
      <c r="B169" s="152"/>
      <c r="C169" s="237" t="s">
        <v>12</v>
      </c>
      <c r="D169" s="153" t="s">
        <v>1</v>
      </c>
      <c r="E169" s="118"/>
      <c r="F169" s="119"/>
      <c r="G169" s="119"/>
      <c r="H169" s="119"/>
      <c r="I169" s="120"/>
      <c r="J169" s="121"/>
      <c r="K169" s="199">
        <v>-5.0000000000000001E-3</v>
      </c>
    </row>
    <row r="170" spans="2:11" x14ac:dyDescent="0.25">
      <c r="B170" s="152"/>
      <c r="C170" s="237"/>
      <c r="D170" s="154" t="s">
        <v>7</v>
      </c>
      <c r="E170" s="122"/>
      <c r="F170" s="123"/>
      <c r="G170" s="123"/>
      <c r="H170" s="123"/>
      <c r="I170" s="124"/>
      <c r="J170" s="125"/>
      <c r="K170" s="199">
        <v>-1.4999999999999999E-2</v>
      </c>
    </row>
    <row r="171" spans="2:11" x14ac:dyDescent="0.25">
      <c r="B171" s="152"/>
      <c r="C171" s="237"/>
      <c r="D171" s="154" t="s">
        <v>8</v>
      </c>
      <c r="E171" s="126"/>
      <c r="F171" s="124"/>
      <c r="G171" s="124"/>
      <c r="H171" s="124"/>
      <c r="I171" s="124"/>
      <c r="J171" s="125"/>
      <c r="K171" s="199">
        <v>-2.5000000000000001E-2</v>
      </c>
    </row>
    <row r="172" spans="2:11" x14ac:dyDescent="0.25">
      <c r="B172" s="152"/>
      <c r="C172" s="237"/>
      <c r="D172" s="154" t="s">
        <v>9</v>
      </c>
      <c r="E172" s="143"/>
      <c r="F172" s="124"/>
      <c r="G172" s="124"/>
      <c r="H172" s="124"/>
      <c r="I172" s="124"/>
      <c r="J172" s="125"/>
      <c r="K172" s="199">
        <v>-3.5000000000000003E-2</v>
      </c>
    </row>
    <row r="173" spans="2:11" x14ac:dyDescent="0.25">
      <c r="B173" s="152"/>
      <c r="C173" s="237"/>
      <c r="D173" s="154" t="s">
        <v>10</v>
      </c>
      <c r="E173" s="143"/>
      <c r="F173" s="124"/>
      <c r="G173" s="124"/>
      <c r="H173" s="124"/>
      <c r="I173" s="124"/>
      <c r="J173" s="125"/>
      <c r="K173" s="199">
        <v>-4.4999999999999998E-2</v>
      </c>
    </row>
    <row r="174" spans="2:11" ht="15.75" thickBot="1" x14ac:dyDescent="0.3">
      <c r="B174" s="152"/>
      <c r="C174" s="237"/>
      <c r="D174" s="154" t="s">
        <v>11</v>
      </c>
      <c r="E174" s="127"/>
      <c r="F174" s="128"/>
      <c r="G174" s="128"/>
      <c r="H174" s="128"/>
      <c r="I174" s="128"/>
      <c r="J174" s="129"/>
      <c r="K174" s="199">
        <v>-6.25E-2</v>
      </c>
    </row>
    <row r="175" spans="2:11" x14ac:dyDescent="0.25">
      <c r="B175" s="152"/>
      <c r="C175" s="152"/>
      <c r="D175" s="194" t="s">
        <v>173</v>
      </c>
      <c r="E175" s="195">
        <v>13.8</v>
      </c>
      <c r="F175" s="195">
        <v>8.1</v>
      </c>
      <c r="G175" s="195">
        <v>6.3</v>
      </c>
      <c r="H175" s="195">
        <v>5.3</v>
      </c>
      <c r="I175" s="195">
        <v>3.8</v>
      </c>
      <c r="J175" s="195">
        <v>2.8</v>
      </c>
      <c r="K175" s="152"/>
    </row>
    <row r="176" spans="2:11" x14ac:dyDescent="0.25">
      <c r="B176" s="152"/>
      <c r="C176" s="152"/>
      <c r="D176" s="152"/>
      <c r="E176" s="152"/>
      <c r="F176" s="152"/>
      <c r="G176" s="152"/>
      <c r="H176" s="152"/>
      <c r="I176" s="152"/>
      <c r="J176" s="152"/>
      <c r="K176" s="152"/>
    </row>
    <row r="177" spans="2:11" x14ac:dyDescent="0.25">
      <c r="B177" s="152"/>
      <c r="C177" s="152"/>
      <c r="D177" s="152"/>
      <c r="E177" s="152"/>
      <c r="F177" s="152"/>
      <c r="G177" s="152"/>
      <c r="H177" s="152"/>
      <c r="I177" s="152"/>
      <c r="J177" s="152"/>
      <c r="K177" s="152"/>
    </row>
    <row r="178" spans="2:11" x14ac:dyDescent="0.25">
      <c r="B178" s="152"/>
      <c r="C178" s="152"/>
      <c r="D178" s="152"/>
      <c r="E178" s="152"/>
      <c r="F178" s="152"/>
      <c r="G178" s="152"/>
      <c r="H178" s="152"/>
      <c r="I178" s="152"/>
      <c r="J178" s="152"/>
      <c r="K178" s="152"/>
    </row>
    <row r="179" spans="2:11" ht="15.75" x14ac:dyDescent="0.25">
      <c r="B179" s="239" t="s">
        <v>50</v>
      </c>
      <c r="C179" s="239"/>
      <c r="D179" s="239"/>
      <c r="E179" s="239"/>
      <c r="F179" s="239"/>
      <c r="G179" s="239"/>
      <c r="H179" s="239"/>
      <c r="I179" s="239"/>
      <c r="J179" s="239"/>
      <c r="K179" s="152"/>
    </row>
    <row r="180" spans="2:11" x14ac:dyDescent="0.25">
      <c r="B180" s="152"/>
      <c r="C180" s="152"/>
      <c r="D180" s="152"/>
      <c r="E180" s="152"/>
      <c r="F180" s="152"/>
      <c r="G180" s="152"/>
      <c r="H180" s="152"/>
      <c r="I180" s="152"/>
      <c r="J180" s="152"/>
      <c r="K180" s="152"/>
    </row>
    <row r="181" spans="2:11" x14ac:dyDescent="0.25">
      <c r="B181" s="152"/>
      <c r="C181" s="152"/>
      <c r="D181" s="152"/>
      <c r="E181" s="238" t="s">
        <v>152</v>
      </c>
      <c r="F181" s="238"/>
      <c r="G181" s="238"/>
      <c r="H181" s="238"/>
      <c r="I181" s="238"/>
      <c r="J181" s="238"/>
      <c r="K181" s="152"/>
    </row>
    <row r="182" spans="2:11" ht="15.75" thickBot="1" x14ac:dyDescent="0.3">
      <c r="B182" s="152"/>
      <c r="C182" s="152"/>
      <c r="D182" s="152"/>
      <c r="E182" s="153" t="s">
        <v>57</v>
      </c>
      <c r="F182" s="154" t="s">
        <v>56</v>
      </c>
      <c r="G182" s="154" t="s">
        <v>52</v>
      </c>
      <c r="H182" s="154" t="s">
        <v>54</v>
      </c>
      <c r="I182" s="154" t="s">
        <v>55</v>
      </c>
      <c r="J182" s="154" t="s">
        <v>53</v>
      </c>
      <c r="K182" s="152"/>
    </row>
    <row r="183" spans="2:11" ht="15" customHeight="1" x14ac:dyDescent="0.25">
      <c r="B183" s="152"/>
      <c r="C183" s="237" t="s">
        <v>12</v>
      </c>
      <c r="D183" s="153" t="s">
        <v>1</v>
      </c>
      <c r="E183" s="130"/>
      <c r="F183" s="131"/>
      <c r="G183" s="131"/>
      <c r="H183" s="131"/>
      <c r="I183" s="131"/>
      <c r="J183" s="132"/>
      <c r="K183" s="152"/>
    </row>
    <row r="184" spans="2:11" x14ac:dyDescent="0.25">
      <c r="B184" s="152"/>
      <c r="C184" s="237"/>
      <c r="D184" s="154" t="s">
        <v>7</v>
      </c>
      <c r="E184" s="133"/>
      <c r="F184" s="134"/>
      <c r="G184" s="134"/>
      <c r="H184" s="134"/>
      <c r="I184" s="134"/>
      <c r="J184" s="135"/>
      <c r="K184" s="152"/>
    </row>
    <row r="185" spans="2:11" x14ac:dyDescent="0.25">
      <c r="B185" s="152"/>
      <c r="C185" s="237"/>
      <c r="D185" s="154" t="s">
        <v>8</v>
      </c>
      <c r="E185" s="133"/>
      <c r="F185" s="134"/>
      <c r="G185" s="134"/>
      <c r="H185" s="134"/>
      <c r="I185" s="134"/>
      <c r="J185" s="135"/>
      <c r="K185" s="152"/>
    </row>
    <row r="186" spans="2:11" x14ac:dyDescent="0.25">
      <c r="B186" s="152"/>
      <c r="C186" s="237"/>
      <c r="D186" s="154" t="s">
        <v>9</v>
      </c>
      <c r="E186" s="133"/>
      <c r="F186" s="134"/>
      <c r="G186" s="134"/>
      <c r="H186" s="134"/>
      <c r="I186" s="134"/>
      <c r="J186" s="135"/>
      <c r="K186" s="152"/>
    </row>
    <row r="187" spans="2:11" x14ac:dyDescent="0.25">
      <c r="B187" s="152"/>
      <c r="C187" s="237"/>
      <c r="D187" s="154" t="s">
        <v>10</v>
      </c>
      <c r="E187" s="133"/>
      <c r="F187" s="134"/>
      <c r="G187" s="134"/>
      <c r="H187" s="134"/>
      <c r="I187" s="134"/>
      <c r="J187" s="135"/>
      <c r="K187" s="152"/>
    </row>
    <row r="188" spans="2:11" ht="15.75" thickBot="1" x14ac:dyDescent="0.3">
      <c r="B188" s="152"/>
      <c r="C188" s="237"/>
      <c r="D188" s="154" t="s">
        <v>11</v>
      </c>
      <c r="E188" s="136"/>
      <c r="F188" s="137"/>
      <c r="G188" s="137"/>
      <c r="H188" s="137"/>
      <c r="I188" s="137"/>
      <c r="J188" s="138"/>
      <c r="K188" s="152"/>
    </row>
    <row r="189" spans="2:11" x14ac:dyDescent="0.25">
      <c r="B189" s="152"/>
      <c r="C189" s="152"/>
      <c r="D189" s="193"/>
      <c r="E189" s="152"/>
      <c r="F189" s="152"/>
      <c r="G189" s="152"/>
      <c r="H189" s="152"/>
      <c r="I189" s="152"/>
      <c r="J189" s="152"/>
      <c r="K189" s="152"/>
    </row>
    <row r="190" spans="2:11" x14ac:dyDescent="0.25">
      <c r="B190" s="152"/>
      <c r="C190" s="152"/>
      <c r="D190" s="152"/>
      <c r="E190" s="152"/>
      <c r="F190" s="152"/>
      <c r="G190" s="152"/>
      <c r="H190" s="152"/>
      <c r="I190" s="152"/>
      <c r="J190" s="152"/>
      <c r="K190" s="152"/>
    </row>
    <row r="191" spans="2:11" x14ac:dyDescent="0.25">
      <c r="B191" s="152"/>
      <c r="C191" s="152"/>
      <c r="D191" s="152"/>
      <c r="E191" s="152"/>
      <c r="F191" s="152"/>
      <c r="G191" s="152"/>
      <c r="H191" s="152"/>
      <c r="I191" s="152"/>
      <c r="J191" s="152"/>
      <c r="K191" s="152"/>
    </row>
    <row r="192" spans="2:11" x14ac:dyDescent="0.25">
      <c r="B192" s="152"/>
      <c r="C192" s="152"/>
      <c r="D192" s="152"/>
      <c r="E192" s="238" t="s">
        <v>14</v>
      </c>
      <c r="F192" s="238"/>
      <c r="G192" s="238"/>
      <c r="H192" s="238"/>
      <c r="I192" s="238"/>
      <c r="J192" s="238"/>
      <c r="K192" s="152"/>
    </row>
    <row r="193" spans="2:11" ht="15.75" thickBot="1" x14ac:dyDescent="0.3">
      <c r="B193" s="152"/>
      <c r="C193" s="152"/>
      <c r="D193" s="152"/>
      <c r="E193" s="153" t="s">
        <v>57</v>
      </c>
      <c r="F193" s="154" t="s">
        <v>56</v>
      </c>
      <c r="G193" s="154" t="s">
        <v>52</v>
      </c>
      <c r="H193" s="154" t="s">
        <v>54</v>
      </c>
      <c r="I193" s="154" t="s">
        <v>55</v>
      </c>
      <c r="J193" s="154" t="s">
        <v>53</v>
      </c>
      <c r="K193" s="198" t="s">
        <v>175</v>
      </c>
    </row>
    <row r="194" spans="2:11" ht="15" customHeight="1" x14ac:dyDescent="0.25">
      <c r="B194" s="152"/>
      <c r="C194" s="237" t="s">
        <v>12</v>
      </c>
      <c r="D194" s="153" t="s">
        <v>1</v>
      </c>
      <c r="E194" s="202"/>
      <c r="F194" s="120"/>
      <c r="G194" s="120"/>
      <c r="H194" s="120"/>
      <c r="I194" s="120"/>
      <c r="J194" s="121"/>
      <c r="K194" s="199">
        <v>-5.0000000000000001E-3</v>
      </c>
    </row>
    <row r="195" spans="2:11" x14ac:dyDescent="0.25">
      <c r="B195" s="152"/>
      <c r="C195" s="237"/>
      <c r="D195" s="154" t="s">
        <v>7</v>
      </c>
      <c r="E195" s="143"/>
      <c r="F195" s="124"/>
      <c r="G195" s="124"/>
      <c r="H195" s="124"/>
      <c r="I195" s="124"/>
      <c r="J195" s="125"/>
      <c r="K195" s="199">
        <v>-1.4999999999999999E-2</v>
      </c>
    </row>
    <row r="196" spans="2:11" x14ac:dyDescent="0.25">
      <c r="B196" s="152"/>
      <c r="C196" s="237"/>
      <c r="D196" s="154" t="s">
        <v>8</v>
      </c>
      <c r="E196" s="143"/>
      <c r="F196" s="124"/>
      <c r="G196" s="124"/>
      <c r="H196" s="124"/>
      <c r="I196" s="124"/>
      <c r="J196" s="125"/>
      <c r="K196" s="199">
        <v>-2.5000000000000001E-2</v>
      </c>
    </row>
    <row r="197" spans="2:11" x14ac:dyDescent="0.25">
      <c r="B197" s="152"/>
      <c r="C197" s="237"/>
      <c r="D197" s="154" t="s">
        <v>9</v>
      </c>
      <c r="E197" s="143"/>
      <c r="F197" s="124"/>
      <c r="G197" s="124"/>
      <c r="H197" s="124"/>
      <c r="I197" s="124"/>
      <c r="J197" s="125"/>
      <c r="K197" s="199">
        <v>-3.5000000000000003E-2</v>
      </c>
    </row>
    <row r="198" spans="2:11" x14ac:dyDescent="0.25">
      <c r="B198" s="152"/>
      <c r="C198" s="237"/>
      <c r="D198" s="154" t="s">
        <v>10</v>
      </c>
      <c r="E198" s="143"/>
      <c r="F198" s="124"/>
      <c r="G198" s="124"/>
      <c r="H198" s="124"/>
      <c r="I198" s="124"/>
      <c r="J198" s="125"/>
      <c r="K198" s="199">
        <v>-4.4999999999999998E-2</v>
      </c>
    </row>
    <row r="199" spans="2:11" ht="15.75" thickBot="1" x14ac:dyDescent="0.3">
      <c r="B199" s="152"/>
      <c r="C199" s="237"/>
      <c r="D199" s="154" t="s">
        <v>11</v>
      </c>
      <c r="E199" s="127"/>
      <c r="F199" s="128"/>
      <c r="G199" s="128"/>
      <c r="H199" s="128"/>
      <c r="I199" s="128"/>
      <c r="J199" s="129"/>
      <c r="K199" s="199">
        <v>-6.25E-2</v>
      </c>
    </row>
    <row r="200" spans="2:11" x14ac:dyDescent="0.25">
      <c r="B200" s="152"/>
      <c r="C200" s="152"/>
      <c r="D200" s="194" t="s">
        <v>173</v>
      </c>
      <c r="E200" s="195">
        <v>1.1000000000000001</v>
      </c>
      <c r="F200" s="195">
        <v>0.6</v>
      </c>
      <c r="G200" s="195">
        <v>0.4</v>
      </c>
      <c r="H200" s="195">
        <v>0.3</v>
      </c>
      <c r="I200" s="195">
        <v>0.3</v>
      </c>
      <c r="J200" s="195">
        <v>0.2</v>
      </c>
    </row>
    <row r="204" spans="2:11" ht="15.75" x14ac:dyDescent="0.25">
      <c r="B204" s="239" t="s">
        <v>51</v>
      </c>
      <c r="C204" s="239"/>
      <c r="D204" s="239"/>
      <c r="E204" s="239"/>
      <c r="F204" s="239"/>
      <c r="G204" s="239"/>
      <c r="H204" s="239"/>
      <c r="I204" s="239"/>
      <c r="J204" s="239"/>
    </row>
    <row r="206" spans="2:11" x14ac:dyDescent="0.25">
      <c r="E206" s="241" t="s">
        <v>15</v>
      </c>
      <c r="F206" s="241"/>
      <c r="G206" s="241"/>
      <c r="H206" s="241"/>
      <c r="I206" s="241"/>
      <c r="J206" s="241"/>
    </row>
    <row r="207" spans="2:11" ht="15.75" thickBot="1" x14ac:dyDescent="0.3">
      <c r="E207" s="1" t="s">
        <v>57</v>
      </c>
      <c r="F207" s="2" t="s">
        <v>56</v>
      </c>
      <c r="G207" s="2" t="s">
        <v>52</v>
      </c>
      <c r="H207" s="2" t="s">
        <v>59</v>
      </c>
      <c r="I207" s="2" t="s">
        <v>60</v>
      </c>
      <c r="J207" s="2" t="s">
        <v>58</v>
      </c>
    </row>
    <row r="208" spans="2:11" x14ac:dyDescent="0.25">
      <c r="C208" s="242" t="s">
        <v>12</v>
      </c>
      <c r="D208" s="1" t="s">
        <v>1</v>
      </c>
      <c r="E208" s="130"/>
      <c r="F208" s="131"/>
      <c r="G208" s="131"/>
      <c r="H208" s="131"/>
      <c r="I208" s="131"/>
      <c r="J208" s="132"/>
    </row>
    <row r="209" spans="3:11" x14ac:dyDescent="0.25">
      <c r="C209" s="242"/>
      <c r="D209" s="2" t="s">
        <v>7</v>
      </c>
      <c r="E209" s="133"/>
      <c r="F209" s="134"/>
      <c r="G209" s="134"/>
      <c r="H209" s="134"/>
      <c r="I209" s="134"/>
      <c r="J209" s="135"/>
    </row>
    <row r="210" spans="3:11" x14ac:dyDescent="0.25">
      <c r="C210" s="242"/>
      <c r="D210" s="2" t="s">
        <v>8</v>
      </c>
      <c r="E210" s="133"/>
      <c r="F210" s="134"/>
      <c r="G210" s="134"/>
      <c r="H210" s="134"/>
      <c r="I210" s="134"/>
      <c r="J210" s="135"/>
    </row>
    <row r="211" spans="3:11" x14ac:dyDescent="0.25">
      <c r="C211" s="242"/>
      <c r="D211" s="2" t="s">
        <v>9</v>
      </c>
      <c r="E211" s="133"/>
      <c r="F211" s="134"/>
      <c r="G211" s="134"/>
      <c r="H211" s="134"/>
      <c r="I211" s="134"/>
      <c r="J211" s="135"/>
    </row>
    <row r="212" spans="3:11" x14ac:dyDescent="0.25">
      <c r="C212" s="242"/>
      <c r="D212" s="2" t="s">
        <v>10</v>
      </c>
      <c r="E212" s="133"/>
      <c r="F212" s="134"/>
      <c r="G212" s="134"/>
      <c r="H212" s="134"/>
      <c r="I212" s="134"/>
      <c r="J212" s="135"/>
    </row>
    <row r="213" spans="3:11" ht="15.75" thickBot="1" x14ac:dyDescent="0.3">
      <c r="C213" s="242"/>
      <c r="D213" s="2" t="s">
        <v>11</v>
      </c>
      <c r="E213" s="136"/>
      <c r="F213" s="137"/>
      <c r="G213" s="137"/>
      <c r="H213" s="137"/>
      <c r="I213" s="137"/>
      <c r="J213" s="138"/>
    </row>
    <row r="217" spans="3:11" x14ac:dyDescent="0.25">
      <c r="E217" s="241" t="s">
        <v>14</v>
      </c>
      <c r="F217" s="241"/>
      <c r="G217" s="241"/>
      <c r="H217" s="241"/>
      <c r="I217" s="241"/>
      <c r="J217" s="241"/>
    </row>
    <row r="218" spans="3:11" ht="15.75" thickBot="1" x14ac:dyDescent="0.3">
      <c r="E218" s="1" t="s">
        <v>57</v>
      </c>
      <c r="F218" s="2" t="s">
        <v>56</v>
      </c>
      <c r="G218" s="2" t="s">
        <v>52</v>
      </c>
      <c r="H218" s="2" t="s">
        <v>59</v>
      </c>
      <c r="I218" s="2" t="s">
        <v>60</v>
      </c>
      <c r="J218" s="2" t="s">
        <v>58</v>
      </c>
      <c r="K218" s="198" t="s">
        <v>175</v>
      </c>
    </row>
    <row r="219" spans="3:11" x14ac:dyDescent="0.25">
      <c r="C219" s="242" t="s">
        <v>12</v>
      </c>
      <c r="D219" s="1" t="s">
        <v>1</v>
      </c>
      <c r="E219" s="118"/>
      <c r="F219" s="119"/>
      <c r="G219" s="119"/>
      <c r="H219" s="120"/>
      <c r="I219" s="120"/>
      <c r="J219" s="121"/>
      <c r="K219" s="199">
        <v>-5.0000000000000001E-3</v>
      </c>
    </row>
    <row r="220" spans="3:11" x14ac:dyDescent="0.25">
      <c r="C220" s="242"/>
      <c r="D220" s="2" t="s">
        <v>7</v>
      </c>
      <c r="E220" s="122"/>
      <c r="F220" s="123"/>
      <c r="G220" s="123"/>
      <c r="H220" s="124"/>
      <c r="I220" s="124"/>
      <c r="J220" s="125"/>
      <c r="K220" s="199">
        <v>-1.4999999999999999E-2</v>
      </c>
    </row>
    <row r="221" spans="3:11" x14ac:dyDescent="0.25">
      <c r="C221" s="242"/>
      <c r="D221" s="2" t="s">
        <v>8</v>
      </c>
      <c r="E221" s="126"/>
      <c r="F221" s="124"/>
      <c r="G221" s="124"/>
      <c r="H221" s="124"/>
      <c r="I221" s="124"/>
      <c r="J221" s="125"/>
      <c r="K221" s="199">
        <v>-2.5000000000000001E-2</v>
      </c>
    </row>
    <row r="222" spans="3:11" x14ac:dyDescent="0.25">
      <c r="C222" s="242"/>
      <c r="D222" s="2" t="s">
        <v>9</v>
      </c>
      <c r="E222" s="143"/>
      <c r="F222" s="124"/>
      <c r="G222" s="124"/>
      <c r="H222" s="124"/>
      <c r="I222" s="124"/>
      <c r="J222" s="125"/>
      <c r="K222" s="199">
        <v>-3.5000000000000003E-2</v>
      </c>
    </row>
    <row r="223" spans="3:11" x14ac:dyDescent="0.25">
      <c r="C223" s="242"/>
      <c r="D223" s="2" t="s">
        <v>10</v>
      </c>
      <c r="E223" s="143"/>
      <c r="F223" s="124"/>
      <c r="G223" s="124"/>
      <c r="H223" s="124"/>
      <c r="I223" s="124"/>
      <c r="J223" s="125"/>
      <c r="K223" s="199">
        <v>-4.4999999999999998E-2</v>
      </c>
    </row>
    <row r="224" spans="3:11" ht="15.75" thickBot="1" x14ac:dyDescent="0.3">
      <c r="C224" s="242"/>
      <c r="D224" s="2" t="s">
        <v>11</v>
      </c>
      <c r="E224" s="127"/>
      <c r="F224" s="128"/>
      <c r="G224" s="128"/>
      <c r="H224" s="128"/>
      <c r="I224" s="128"/>
      <c r="J224" s="129"/>
      <c r="K224" s="199">
        <v>-6.25E-2</v>
      </c>
    </row>
    <row r="225" spans="4:10" x14ac:dyDescent="0.25">
      <c r="D225" s="194" t="s">
        <v>173</v>
      </c>
      <c r="E225" s="195">
        <v>13.9</v>
      </c>
      <c r="F225" s="195">
        <v>8.1</v>
      </c>
      <c r="G225" s="195">
        <v>5.7</v>
      </c>
      <c r="H225" s="195">
        <v>4.0999999999999996</v>
      </c>
      <c r="I225" s="195">
        <v>3.2</v>
      </c>
      <c r="J225" s="195">
        <v>2.6</v>
      </c>
    </row>
  </sheetData>
  <sheetProtection algorithmName="SHA-512" hashValue="wiLKxVKuDtiuYp/CXK8gUmCPtcDFjpvMc3SVq1xiauGeRaKPNVdpBR63Ewd+tEMoWxfwlBdRQKGOjlOEMeiBmA==" saltValue="pm0UmnbSRcH+i8ZGs/ZBCw==" spinCount="100000" sheet="1" objects="1" scenarios="1" selectLockedCells="1"/>
  <mergeCells count="46">
    <mergeCell ref="E217:J217"/>
    <mergeCell ref="C219:C224"/>
    <mergeCell ref="C183:C188"/>
    <mergeCell ref="E192:J192"/>
    <mergeCell ref="C194:C199"/>
    <mergeCell ref="B204:J204"/>
    <mergeCell ref="E206:J206"/>
    <mergeCell ref="C208:C213"/>
    <mergeCell ref="E181:J181"/>
    <mergeCell ref="B129:J129"/>
    <mergeCell ref="E131:J131"/>
    <mergeCell ref="C133:C138"/>
    <mergeCell ref="E142:J142"/>
    <mergeCell ref="C144:C149"/>
    <mergeCell ref="B154:J154"/>
    <mergeCell ref="E156:J156"/>
    <mergeCell ref="C158:C163"/>
    <mergeCell ref="E167:J167"/>
    <mergeCell ref="C169:C174"/>
    <mergeCell ref="B179:J179"/>
    <mergeCell ref="C119:C124"/>
    <mergeCell ref="E67:J67"/>
    <mergeCell ref="C69:C74"/>
    <mergeCell ref="B79:J79"/>
    <mergeCell ref="E81:J81"/>
    <mergeCell ref="C83:C88"/>
    <mergeCell ref="E92:J92"/>
    <mergeCell ref="C94:C99"/>
    <mergeCell ref="B104:J104"/>
    <mergeCell ref="E106:J106"/>
    <mergeCell ref="C108:C113"/>
    <mergeCell ref="E117:J117"/>
    <mergeCell ref="C44:C49"/>
    <mergeCell ref="B54:J54"/>
    <mergeCell ref="E56:J56"/>
    <mergeCell ref="C58:C63"/>
    <mergeCell ref="C19:C24"/>
    <mergeCell ref="B29:J29"/>
    <mergeCell ref="E31:J31"/>
    <mergeCell ref="C33:C38"/>
    <mergeCell ref="E42:J42"/>
    <mergeCell ref="B2:J2"/>
    <mergeCell ref="B4:J4"/>
    <mergeCell ref="E6:J6"/>
    <mergeCell ref="C8:C13"/>
    <mergeCell ref="E17:J17"/>
  </mergeCells>
  <pageMargins left="0.25" right="0.25" top="0.75" bottom="0.75" header="0.3" footer="0.3"/>
  <pageSetup paperSize="9" scale="77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pageSetUpPr fitToPage="1"/>
  </sheetPr>
  <dimension ref="B2:K225"/>
  <sheetViews>
    <sheetView zoomScaleNormal="100" workbookViewId="0">
      <selection activeCell="E8" sqref="E8"/>
    </sheetView>
  </sheetViews>
  <sheetFormatPr defaultColWidth="8.85546875" defaultRowHeight="15" x14ac:dyDescent="0.25"/>
  <cols>
    <col min="1" max="3" width="8.85546875" style="3"/>
    <col min="4" max="11" width="12.7109375" style="3" customWidth="1"/>
    <col min="12" max="16384" width="8.85546875" style="3"/>
  </cols>
  <sheetData>
    <row r="2" spans="2:10" ht="21" x14ac:dyDescent="0.3">
      <c r="B2" s="243" t="s">
        <v>125</v>
      </c>
      <c r="C2" s="243"/>
      <c r="D2" s="243"/>
      <c r="E2" s="243"/>
      <c r="F2" s="243"/>
      <c r="G2" s="243"/>
      <c r="H2" s="243"/>
      <c r="I2" s="243"/>
      <c r="J2" s="243"/>
    </row>
    <row r="4" spans="2:10" ht="15.6" x14ac:dyDescent="0.3">
      <c r="B4" s="239" t="s">
        <v>13</v>
      </c>
      <c r="C4" s="239"/>
      <c r="D4" s="239"/>
      <c r="E4" s="239"/>
      <c r="F4" s="239"/>
      <c r="G4" s="239"/>
      <c r="H4" s="239"/>
      <c r="I4" s="239"/>
      <c r="J4" s="239"/>
    </row>
    <row r="6" spans="2:10" ht="14.45" x14ac:dyDescent="0.3">
      <c r="E6" s="241" t="s">
        <v>15</v>
      </c>
      <c r="F6" s="241"/>
      <c r="G6" s="241"/>
      <c r="H6" s="241"/>
      <c r="I6" s="241"/>
      <c r="J6" s="241"/>
    </row>
    <row r="7" spans="2:10" thickBot="1" x14ac:dyDescent="0.35">
      <c r="E7" s="1" t="s">
        <v>1</v>
      </c>
      <c r="F7" s="2" t="s">
        <v>2</v>
      </c>
      <c r="G7" s="2" t="s">
        <v>3</v>
      </c>
      <c r="H7" s="2" t="s">
        <v>4</v>
      </c>
      <c r="I7" s="2" t="s">
        <v>5</v>
      </c>
      <c r="J7" s="2" t="s">
        <v>6</v>
      </c>
    </row>
    <row r="8" spans="2:10" ht="15" customHeight="1" x14ac:dyDescent="0.25">
      <c r="C8" s="242" t="s">
        <v>12</v>
      </c>
      <c r="D8" s="1" t="s">
        <v>1</v>
      </c>
      <c r="E8" s="130"/>
      <c r="F8" s="131">
        <v>5.75</v>
      </c>
      <c r="G8" s="131">
        <v>35</v>
      </c>
      <c r="H8" s="131"/>
      <c r="I8" s="131"/>
      <c r="J8" s="132">
        <v>132.917</v>
      </c>
    </row>
    <row r="9" spans="2:10" x14ac:dyDescent="0.25">
      <c r="C9" s="242"/>
      <c r="D9" s="2" t="s">
        <v>7</v>
      </c>
      <c r="E9" s="133">
        <v>7.6389999999999993</v>
      </c>
      <c r="F9" s="134">
        <v>23.216999999999999</v>
      </c>
      <c r="G9" s="134"/>
      <c r="H9" s="134"/>
      <c r="I9" s="134">
        <v>36.1</v>
      </c>
      <c r="J9" s="135">
        <v>64.832999999999998</v>
      </c>
    </row>
    <row r="10" spans="2:10" x14ac:dyDescent="0.25">
      <c r="C10" s="242"/>
      <c r="D10" s="2" t="s">
        <v>8</v>
      </c>
      <c r="E10" s="133"/>
      <c r="F10" s="134">
        <v>7.5830000000000002</v>
      </c>
      <c r="G10" s="134">
        <v>39.225999999999999</v>
      </c>
      <c r="H10" s="134">
        <v>30.213999999999999</v>
      </c>
      <c r="I10" s="134">
        <v>44.082999999999998</v>
      </c>
      <c r="J10" s="135"/>
    </row>
    <row r="11" spans="2:10" x14ac:dyDescent="0.25">
      <c r="C11" s="242"/>
      <c r="D11" s="2" t="s">
        <v>9</v>
      </c>
      <c r="E11" s="133"/>
      <c r="F11" s="134"/>
      <c r="G11" s="134"/>
      <c r="H11" s="134"/>
      <c r="I11" s="134"/>
      <c r="J11" s="135"/>
    </row>
    <row r="12" spans="2:10" x14ac:dyDescent="0.25">
      <c r="C12" s="242"/>
      <c r="D12" s="2" t="s">
        <v>10</v>
      </c>
      <c r="E12" s="133"/>
      <c r="F12" s="134"/>
      <c r="G12" s="134">
        <v>33.25</v>
      </c>
      <c r="H12" s="134"/>
      <c r="I12" s="134"/>
      <c r="J12" s="135"/>
    </row>
    <row r="13" spans="2:10" ht="15.75" thickBot="1" x14ac:dyDescent="0.3">
      <c r="C13" s="242"/>
      <c r="D13" s="2" t="s">
        <v>11</v>
      </c>
      <c r="E13" s="136"/>
      <c r="F13" s="137"/>
      <c r="G13" s="137"/>
      <c r="H13" s="137"/>
      <c r="I13" s="137"/>
      <c r="J13" s="138">
        <v>1309</v>
      </c>
    </row>
    <row r="17" spans="2:11" ht="14.45" x14ac:dyDescent="0.3">
      <c r="E17" s="241" t="s">
        <v>14</v>
      </c>
      <c r="F17" s="241"/>
      <c r="G17" s="241"/>
      <c r="H17" s="241"/>
      <c r="I17" s="241"/>
      <c r="J17" s="241"/>
    </row>
    <row r="18" spans="2:11" ht="15.75" thickBot="1" x14ac:dyDescent="0.3">
      <c r="E18" s="1" t="s">
        <v>1</v>
      </c>
      <c r="F18" s="2" t="s">
        <v>2</v>
      </c>
      <c r="G18" s="2" t="s">
        <v>3</v>
      </c>
      <c r="H18" s="2" t="s">
        <v>4</v>
      </c>
      <c r="I18" s="2" t="s">
        <v>5</v>
      </c>
      <c r="J18" s="2" t="s">
        <v>6</v>
      </c>
      <c r="K18" s="198" t="s">
        <v>175</v>
      </c>
    </row>
    <row r="19" spans="2:11" ht="15" customHeight="1" x14ac:dyDescent="0.25">
      <c r="C19" s="242" t="s">
        <v>12</v>
      </c>
      <c r="D19" s="1" t="s">
        <v>1</v>
      </c>
      <c r="E19" s="118"/>
      <c r="F19" s="119">
        <v>1</v>
      </c>
      <c r="G19" s="120">
        <v>2</v>
      </c>
      <c r="H19" s="120"/>
      <c r="I19" s="120"/>
      <c r="J19" s="121">
        <v>1</v>
      </c>
      <c r="K19" s="199">
        <v>-4.2499999999999996E-2</v>
      </c>
    </row>
    <row r="20" spans="2:11" x14ac:dyDescent="0.25">
      <c r="C20" s="242"/>
      <c r="D20" s="2" t="s">
        <v>7</v>
      </c>
      <c r="E20" s="122">
        <v>3</v>
      </c>
      <c r="F20" s="123">
        <v>3</v>
      </c>
      <c r="G20" s="124"/>
      <c r="H20" s="124"/>
      <c r="I20" s="124">
        <v>1</v>
      </c>
      <c r="J20" s="125">
        <v>1</v>
      </c>
      <c r="K20" s="199">
        <v>-6.7500000000000004E-2</v>
      </c>
    </row>
    <row r="21" spans="2:11" x14ac:dyDescent="0.25">
      <c r="C21" s="242"/>
      <c r="D21" s="2" t="s">
        <v>8</v>
      </c>
      <c r="E21" s="126"/>
      <c r="F21" s="124">
        <v>1</v>
      </c>
      <c r="G21" s="124">
        <v>2</v>
      </c>
      <c r="H21" s="124">
        <v>1</v>
      </c>
      <c r="I21" s="124">
        <v>1</v>
      </c>
      <c r="J21" s="125"/>
      <c r="K21" s="199">
        <v>-9.2499999999999999E-2</v>
      </c>
    </row>
    <row r="22" spans="2:11" x14ac:dyDescent="0.25">
      <c r="C22" s="242"/>
      <c r="D22" s="2" t="s">
        <v>9</v>
      </c>
      <c r="E22" s="143"/>
      <c r="F22" s="124"/>
      <c r="G22" s="124"/>
      <c r="H22" s="124"/>
      <c r="I22" s="124"/>
      <c r="J22" s="125"/>
      <c r="K22" s="199">
        <v>-0.11750000000000001</v>
      </c>
    </row>
    <row r="23" spans="2:11" x14ac:dyDescent="0.25">
      <c r="C23" s="242"/>
      <c r="D23" s="2" t="s">
        <v>10</v>
      </c>
      <c r="E23" s="143"/>
      <c r="F23" s="124"/>
      <c r="G23" s="124">
        <v>2</v>
      </c>
      <c r="H23" s="124"/>
      <c r="I23" s="124"/>
      <c r="J23" s="125"/>
      <c r="K23" s="199">
        <v>-0.14250000000000002</v>
      </c>
    </row>
    <row r="24" spans="2:11" ht="15.75" thickBot="1" x14ac:dyDescent="0.3">
      <c r="C24" s="242"/>
      <c r="D24" s="2" t="s">
        <v>11</v>
      </c>
      <c r="E24" s="127"/>
      <c r="F24" s="128"/>
      <c r="G24" s="128"/>
      <c r="H24" s="128"/>
      <c r="I24" s="128"/>
      <c r="J24" s="129">
        <v>1</v>
      </c>
      <c r="K24" s="199">
        <v>-0.18625</v>
      </c>
    </row>
    <row r="25" spans="2:11" x14ac:dyDescent="0.25">
      <c r="D25" s="194" t="s">
        <v>173</v>
      </c>
      <c r="E25" s="195">
        <v>10.8</v>
      </c>
      <c r="F25" s="195">
        <v>5.4</v>
      </c>
      <c r="G25" s="195">
        <v>3.9</v>
      </c>
      <c r="H25" s="195">
        <v>3.2</v>
      </c>
      <c r="I25" s="195">
        <v>2.7</v>
      </c>
      <c r="J25" s="195">
        <v>2.2000000000000002</v>
      </c>
      <c r="K25" s="152"/>
    </row>
    <row r="26" spans="2:11" x14ac:dyDescent="0.25">
      <c r="K26" s="152"/>
    </row>
    <row r="27" spans="2:11" x14ac:dyDescent="0.25">
      <c r="K27" s="152"/>
    </row>
    <row r="28" spans="2:11" x14ac:dyDescent="0.25">
      <c r="K28" s="152"/>
    </row>
    <row r="29" spans="2:11" ht="15.75" x14ac:dyDescent="0.25">
      <c r="B29" s="239" t="s">
        <v>16</v>
      </c>
      <c r="C29" s="239"/>
      <c r="D29" s="239"/>
      <c r="E29" s="239"/>
      <c r="F29" s="239"/>
      <c r="G29" s="239"/>
      <c r="H29" s="239"/>
      <c r="I29" s="239"/>
      <c r="J29" s="239"/>
      <c r="K29" s="152"/>
    </row>
    <row r="30" spans="2:11" x14ac:dyDescent="0.25">
      <c r="K30" s="152"/>
    </row>
    <row r="31" spans="2:11" x14ac:dyDescent="0.25">
      <c r="E31" s="241" t="s">
        <v>15</v>
      </c>
      <c r="F31" s="241"/>
      <c r="G31" s="241"/>
      <c r="H31" s="241"/>
      <c r="I31" s="241"/>
      <c r="J31" s="241"/>
      <c r="K31" s="152"/>
    </row>
    <row r="32" spans="2:11" ht="15.75" thickBot="1" x14ac:dyDescent="0.3">
      <c r="E32" s="1" t="s">
        <v>20</v>
      </c>
      <c r="F32" s="2" t="s">
        <v>21</v>
      </c>
      <c r="G32" s="2" t="s">
        <v>22</v>
      </c>
      <c r="H32" s="2" t="s">
        <v>23</v>
      </c>
      <c r="I32" s="2" t="s">
        <v>24</v>
      </c>
      <c r="J32" s="2" t="s">
        <v>25</v>
      </c>
      <c r="K32" s="152"/>
    </row>
    <row r="33" spans="3:11" ht="15" customHeight="1" x14ac:dyDescent="0.25">
      <c r="C33" s="242" t="s">
        <v>12</v>
      </c>
      <c r="D33" s="1" t="s">
        <v>1</v>
      </c>
      <c r="E33" s="130"/>
      <c r="F33" s="131"/>
      <c r="G33" s="131">
        <v>42.9</v>
      </c>
      <c r="H33" s="131"/>
      <c r="I33" s="131"/>
      <c r="J33" s="132"/>
      <c r="K33" s="152"/>
    </row>
    <row r="34" spans="3:11" x14ac:dyDescent="0.25">
      <c r="C34" s="242"/>
      <c r="D34" s="2" t="s">
        <v>7</v>
      </c>
      <c r="E34" s="133"/>
      <c r="F34" s="134"/>
      <c r="G34" s="134"/>
      <c r="H34" s="134"/>
      <c r="I34" s="134"/>
      <c r="J34" s="135"/>
      <c r="K34" s="152"/>
    </row>
    <row r="35" spans="3:11" x14ac:dyDescent="0.25">
      <c r="C35" s="242"/>
      <c r="D35" s="2" t="s">
        <v>8</v>
      </c>
      <c r="E35" s="133"/>
      <c r="F35" s="134"/>
      <c r="G35" s="134"/>
      <c r="H35" s="134"/>
      <c r="I35" s="134"/>
      <c r="J35" s="135"/>
      <c r="K35" s="152"/>
    </row>
    <row r="36" spans="3:11" x14ac:dyDescent="0.25">
      <c r="C36" s="242"/>
      <c r="D36" s="2" t="s">
        <v>9</v>
      </c>
      <c r="E36" s="133"/>
      <c r="F36" s="134"/>
      <c r="G36" s="134"/>
      <c r="H36" s="134"/>
      <c r="I36" s="134"/>
      <c r="J36" s="135">
        <v>105.6</v>
      </c>
      <c r="K36" s="152"/>
    </row>
    <row r="37" spans="3:11" x14ac:dyDescent="0.25">
      <c r="C37" s="242"/>
      <c r="D37" s="2" t="s">
        <v>10</v>
      </c>
      <c r="E37" s="133"/>
      <c r="F37" s="134"/>
      <c r="G37" s="134"/>
      <c r="H37" s="134"/>
      <c r="I37" s="134"/>
      <c r="J37" s="135"/>
      <c r="K37" s="152"/>
    </row>
    <row r="38" spans="3:11" ht="15.75" thickBot="1" x14ac:dyDescent="0.3">
      <c r="C38" s="242"/>
      <c r="D38" s="2" t="s">
        <v>11</v>
      </c>
      <c r="E38" s="136"/>
      <c r="F38" s="137"/>
      <c r="G38" s="137"/>
      <c r="H38" s="137"/>
      <c r="I38" s="137"/>
      <c r="J38" s="138"/>
      <c r="K38" s="152"/>
    </row>
    <row r="39" spans="3:11" x14ac:dyDescent="0.25">
      <c r="K39" s="152"/>
    </row>
    <row r="40" spans="3:11" x14ac:dyDescent="0.25">
      <c r="K40" s="152"/>
    </row>
    <row r="41" spans="3:11" x14ac:dyDescent="0.25">
      <c r="K41" s="152"/>
    </row>
    <row r="42" spans="3:11" x14ac:dyDescent="0.25">
      <c r="E42" s="241" t="s">
        <v>14</v>
      </c>
      <c r="F42" s="241"/>
      <c r="G42" s="241"/>
      <c r="H42" s="241"/>
      <c r="I42" s="241"/>
      <c r="J42" s="241"/>
      <c r="K42" s="152"/>
    </row>
    <row r="43" spans="3:11" ht="15.75" thickBot="1" x14ac:dyDescent="0.3">
      <c r="E43" s="1" t="s">
        <v>20</v>
      </c>
      <c r="F43" s="2" t="s">
        <v>21</v>
      </c>
      <c r="G43" s="2" t="s">
        <v>22</v>
      </c>
      <c r="H43" s="2" t="s">
        <v>23</v>
      </c>
      <c r="I43" s="2" t="s">
        <v>24</v>
      </c>
      <c r="J43" s="2" t="s">
        <v>25</v>
      </c>
      <c r="K43" s="198" t="s">
        <v>175</v>
      </c>
    </row>
    <row r="44" spans="3:11" ht="15" customHeight="1" x14ac:dyDescent="0.25">
      <c r="C44" s="242" t="s">
        <v>12</v>
      </c>
      <c r="D44" s="1" t="s">
        <v>1</v>
      </c>
      <c r="E44" s="118"/>
      <c r="F44" s="119"/>
      <c r="G44" s="119">
        <v>1</v>
      </c>
      <c r="H44" s="119"/>
      <c r="I44" s="119"/>
      <c r="J44" s="121"/>
      <c r="K44" s="199">
        <v>-4.2499999999999996E-2</v>
      </c>
    </row>
    <row r="45" spans="3:11" x14ac:dyDescent="0.25">
      <c r="C45" s="242"/>
      <c r="D45" s="2" t="s">
        <v>7</v>
      </c>
      <c r="E45" s="122"/>
      <c r="F45" s="123"/>
      <c r="G45" s="123"/>
      <c r="H45" s="123"/>
      <c r="I45" s="123"/>
      <c r="J45" s="125"/>
      <c r="K45" s="199">
        <v>-6.7500000000000004E-2</v>
      </c>
    </row>
    <row r="46" spans="3:11" x14ac:dyDescent="0.25">
      <c r="C46" s="242"/>
      <c r="D46" s="2" t="s">
        <v>8</v>
      </c>
      <c r="E46" s="122"/>
      <c r="F46" s="124"/>
      <c r="G46" s="124"/>
      <c r="H46" s="124"/>
      <c r="I46" s="124"/>
      <c r="J46" s="125"/>
      <c r="K46" s="199">
        <v>-9.2499999999999999E-2</v>
      </c>
    </row>
    <row r="47" spans="3:11" x14ac:dyDescent="0.25">
      <c r="C47" s="242"/>
      <c r="D47" s="2" t="s">
        <v>9</v>
      </c>
      <c r="E47" s="126"/>
      <c r="F47" s="124"/>
      <c r="G47" s="124"/>
      <c r="H47" s="124"/>
      <c r="I47" s="124"/>
      <c r="J47" s="125">
        <v>1</v>
      </c>
      <c r="K47" s="199">
        <v>-0.11750000000000001</v>
      </c>
    </row>
    <row r="48" spans="3:11" x14ac:dyDescent="0.25">
      <c r="C48" s="242"/>
      <c r="D48" s="2" t="s">
        <v>10</v>
      </c>
      <c r="E48" s="143"/>
      <c r="F48" s="124"/>
      <c r="G48" s="124"/>
      <c r="H48" s="124"/>
      <c r="I48" s="124"/>
      <c r="J48" s="125"/>
      <c r="K48" s="199">
        <v>-0.14250000000000002</v>
      </c>
    </row>
    <row r="49" spans="2:11" ht="15.75" thickBot="1" x14ac:dyDescent="0.3">
      <c r="C49" s="242"/>
      <c r="D49" s="2" t="s">
        <v>11</v>
      </c>
      <c r="E49" s="127"/>
      <c r="F49" s="128"/>
      <c r="G49" s="128"/>
      <c r="H49" s="128"/>
      <c r="I49" s="128"/>
      <c r="J49" s="129"/>
      <c r="K49" s="199">
        <v>-0.18625</v>
      </c>
    </row>
    <row r="50" spans="2:11" x14ac:dyDescent="0.25">
      <c r="D50" s="194" t="s">
        <v>173</v>
      </c>
      <c r="E50" s="195">
        <v>15.7</v>
      </c>
      <c r="F50" s="195">
        <v>9.1</v>
      </c>
      <c r="G50" s="195">
        <v>7.1</v>
      </c>
      <c r="H50" s="195">
        <v>6</v>
      </c>
      <c r="I50" s="195">
        <v>5.3</v>
      </c>
      <c r="J50" s="195">
        <v>4.5</v>
      </c>
      <c r="K50" s="152"/>
    </row>
    <row r="51" spans="2:11" x14ac:dyDescent="0.25">
      <c r="K51" s="152"/>
    </row>
    <row r="52" spans="2:11" x14ac:dyDescent="0.25">
      <c r="K52" s="152"/>
    </row>
    <row r="53" spans="2:11" x14ac:dyDescent="0.25">
      <c r="K53" s="152"/>
    </row>
    <row r="54" spans="2:11" ht="15.75" x14ac:dyDescent="0.25">
      <c r="B54" s="239" t="s">
        <v>17</v>
      </c>
      <c r="C54" s="239"/>
      <c r="D54" s="239"/>
      <c r="E54" s="239"/>
      <c r="F54" s="239"/>
      <c r="G54" s="239"/>
      <c r="H54" s="239"/>
      <c r="I54" s="239"/>
      <c r="J54" s="239"/>
      <c r="K54" s="152"/>
    </row>
    <row r="55" spans="2:11" x14ac:dyDescent="0.25">
      <c r="B55" s="152"/>
      <c r="C55" s="152"/>
      <c r="D55" s="152"/>
      <c r="E55" s="152"/>
      <c r="F55" s="152"/>
      <c r="G55" s="152"/>
      <c r="H55" s="152"/>
      <c r="I55" s="152"/>
      <c r="J55" s="152"/>
      <c r="K55" s="152"/>
    </row>
    <row r="56" spans="2:11" x14ac:dyDescent="0.25">
      <c r="B56" s="152"/>
      <c r="C56" s="152"/>
      <c r="D56" s="152"/>
      <c r="E56" s="238" t="s">
        <v>152</v>
      </c>
      <c r="F56" s="238"/>
      <c r="G56" s="238"/>
      <c r="H56" s="238"/>
      <c r="I56" s="238"/>
      <c r="J56" s="238"/>
      <c r="K56" s="152"/>
    </row>
    <row r="57" spans="2:11" ht="15.75" thickBot="1" x14ac:dyDescent="0.3">
      <c r="B57" s="152"/>
      <c r="C57" s="152"/>
      <c r="D57" s="152"/>
      <c r="E57" s="153" t="s">
        <v>26</v>
      </c>
      <c r="F57" s="154" t="s">
        <v>27</v>
      </c>
      <c r="G57" s="154" t="s">
        <v>28</v>
      </c>
      <c r="H57" s="154" t="s">
        <v>29</v>
      </c>
      <c r="I57" s="154" t="s">
        <v>30</v>
      </c>
      <c r="J57" s="154" t="s">
        <v>31</v>
      </c>
      <c r="K57" s="152"/>
    </row>
    <row r="58" spans="2:11" ht="15" customHeight="1" x14ac:dyDescent="0.25">
      <c r="B58" s="152"/>
      <c r="C58" s="237" t="s">
        <v>12</v>
      </c>
      <c r="D58" s="153" t="s">
        <v>1</v>
      </c>
      <c r="E58" s="130"/>
      <c r="F58" s="131"/>
      <c r="G58" s="131"/>
      <c r="H58" s="131"/>
      <c r="I58" s="131"/>
      <c r="J58" s="132"/>
      <c r="K58" s="152"/>
    </row>
    <row r="59" spans="2:11" x14ac:dyDescent="0.25">
      <c r="B59" s="152"/>
      <c r="C59" s="237"/>
      <c r="D59" s="154" t="s">
        <v>7</v>
      </c>
      <c r="E59" s="133"/>
      <c r="F59" s="134"/>
      <c r="G59" s="134"/>
      <c r="H59" s="134"/>
      <c r="I59" s="134"/>
      <c r="J59" s="135"/>
      <c r="K59" s="152"/>
    </row>
    <row r="60" spans="2:11" x14ac:dyDescent="0.25">
      <c r="B60" s="152"/>
      <c r="C60" s="237"/>
      <c r="D60" s="154" t="s">
        <v>8</v>
      </c>
      <c r="E60" s="133">
        <v>7.7859999999999996</v>
      </c>
      <c r="F60" s="134"/>
      <c r="G60" s="134"/>
      <c r="H60" s="134"/>
      <c r="I60" s="134"/>
      <c r="J60" s="135">
        <v>361.33300000000003</v>
      </c>
      <c r="K60" s="152"/>
    </row>
    <row r="61" spans="2:11" x14ac:dyDescent="0.25">
      <c r="B61" s="152"/>
      <c r="C61" s="237"/>
      <c r="D61" s="154" t="s">
        <v>9</v>
      </c>
      <c r="E61" s="133"/>
      <c r="F61" s="134"/>
      <c r="G61" s="134"/>
      <c r="H61" s="134"/>
      <c r="I61" s="134"/>
      <c r="J61" s="135"/>
      <c r="K61" s="152"/>
    </row>
    <row r="62" spans="2:11" x14ac:dyDescent="0.25">
      <c r="B62" s="152"/>
      <c r="C62" s="237"/>
      <c r="D62" s="154" t="s">
        <v>10</v>
      </c>
      <c r="E62" s="133"/>
      <c r="F62" s="134"/>
      <c r="G62" s="134"/>
      <c r="H62" s="134"/>
      <c r="I62" s="134"/>
      <c r="J62" s="135"/>
      <c r="K62" s="152"/>
    </row>
    <row r="63" spans="2:11" ht="15.75" thickBot="1" x14ac:dyDescent="0.3">
      <c r="B63" s="152"/>
      <c r="C63" s="237"/>
      <c r="D63" s="154" t="s">
        <v>11</v>
      </c>
      <c r="E63" s="136"/>
      <c r="F63" s="137"/>
      <c r="G63" s="137"/>
      <c r="H63" s="137"/>
      <c r="I63" s="137"/>
      <c r="J63" s="138"/>
      <c r="K63" s="152"/>
    </row>
    <row r="64" spans="2:11" x14ac:dyDescent="0.25">
      <c r="B64" s="152"/>
      <c r="C64" s="152"/>
      <c r="D64" s="152"/>
      <c r="E64" s="152"/>
      <c r="F64" s="152"/>
      <c r="G64" s="152"/>
      <c r="H64" s="152"/>
      <c r="I64" s="152"/>
      <c r="J64" s="152"/>
      <c r="K64" s="152"/>
    </row>
    <row r="65" spans="2:11" x14ac:dyDescent="0.25">
      <c r="B65" s="152"/>
      <c r="C65" s="152"/>
      <c r="D65" s="152"/>
      <c r="E65" s="152"/>
      <c r="F65" s="152"/>
      <c r="G65" s="152"/>
      <c r="H65" s="152"/>
      <c r="I65" s="152"/>
      <c r="J65" s="152"/>
      <c r="K65" s="152"/>
    </row>
    <row r="66" spans="2:11" x14ac:dyDescent="0.25">
      <c r="B66" s="152"/>
      <c r="C66" s="152"/>
      <c r="D66" s="152"/>
      <c r="E66" s="152"/>
      <c r="F66" s="152"/>
      <c r="G66" s="152"/>
      <c r="H66" s="152"/>
      <c r="I66" s="152"/>
      <c r="J66" s="152"/>
      <c r="K66" s="152"/>
    </row>
    <row r="67" spans="2:11" x14ac:dyDescent="0.25">
      <c r="B67" s="152"/>
      <c r="C67" s="152"/>
      <c r="D67" s="152"/>
      <c r="E67" s="238" t="s">
        <v>14</v>
      </c>
      <c r="F67" s="238"/>
      <c r="G67" s="238"/>
      <c r="H67" s="238"/>
      <c r="I67" s="238"/>
      <c r="J67" s="238"/>
      <c r="K67" s="152"/>
    </row>
    <row r="68" spans="2:11" ht="15.75" thickBot="1" x14ac:dyDescent="0.3">
      <c r="B68" s="152"/>
      <c r="C68" s="152"/>
      <c r="D68" s="152"/>
      <c r="E68" s="153" t="s">
        <v>26</v>
      </c>
      <c r="F68" s="154" t="s">
        <v>27</v>
      </c>
      <c r="G68" s="154" t="s">
        <v>28</v>
      </c>
      <c r="H68" s="154" t="s">
        <v>29</v>
      </c>
      <c r="I68" s="154" t="s">
        <v>30</v>
      </c>
      <c r="J68" s="154" t="s">
        <v>31</v>
      </c>
      <c r="K68" s="198" t="s">
        <v>175</v>
      </c>
    </row>
    <row r="69" spans="2:11" ht="15" customHeight="1" x14ac:dyDescent="0.25">
      <c r="B69" s="152"/>
      <c r="C69" s="237" t="s">
        <v>12</v>
      </c>
      <c r="D69" s="153" t="s">
        <v>1</v>
      </c>
      <c r="E69" s="118"/>
      <c r="F69" s="119"/>
      <c r="G69" s="119"/>
      <c r="H69" s="119"/>
      <c r="I69" s="119"/>
      <c r="J69" s="220"/>
      <c r="K69" s="199">
        <v>-2.2499999999999999E-2</v>
      </c>
    </row>
    <row r="70" spans="2:11" x14ac:dyDescent="0.25">
      <c r="B70" s="152"/>
      <c r="C70" s="237"/>
      <c r="D70" s="154" t="s">
        <v>7</v>
      </c>
      <c r="E70" s="122"/>
      <c r="F70" s="219"/>
      <c r="G70" s="219"/>
      <c r="H70" s="123"/>
      <c r="I70" s="123"/>
      <c r="J70" s="221"/>
      <c r="K70" s="199">
        <v>-4.7500000000000001E-2</v>
      </c>
    </row>
    <row r="71" spans="2:11" x14ac:dyDescent="0.25">
      <c r="B71" s="152"/>
      <c r="C71" s="237"/>
      <c r="D71" s="154" t="s">
        <v>8</v>
      </c>
      <c r="E71" s="122">
        <v>1</v>
      </c>
      <c r="F71" s="219"/>
      <c r="G71" s="123"/>
      <c r="H71" s="124"/>
      <c r="I71" s="124"/>
      <c r="J71" s="125">
        <v>1</v>
      </c>
      <c r="K71" s="199">
        <v>-7.2499999999999995E-2</v>
      </c>
    </row>
    <row r="72" spans="2:11" x14ac:dyDescent="0.25">
      <c r="B72" s="152"/>
      <c r="C72" s="237"/>
      <c r="D72" s="154" t="s">
        <v>9</v>
      </c>
      <c r="E72" s="122"/>
      <c r="F72" s="123"/>
      <c r="G72" s="124"/>
      <c r="H72" s="124"/>
      <c r="I72" s="124"/>
      <c r="J72" s="125"/>
      <c r="K72" s="199">
        <v>-9.7500000000000003E-2</v>
      </c>
    </row>
    <row r="73" spans="2:11" x14ac:dyDescent="0.25">
      <c r="B73" s="152"/>
      <c r="C73" s="237"/>
      <c r="D73" s="154" t="s">
        <v>10</v>
      </c>
      <c r="E73" s="122"/>
      <c r="F73" s="124"/>
      <c r="G73" s="124"/>
      <c r="H73" s="124"/>
      <c r="I73" s="124"/>
      <c r="J73" s="125"/>
      <c r="K73" s="199">
        <v>-0.1225</v>
      </c>
    </row>
    <row r="74" spans="2:11" ht="15.75" thickBot="1" x14ac:dyDescent="0.3">
      <c r="B74" s="152"/>
      <c r="C74" s="237"/>
      <c r="D74" s="154" t="s">
        <v>11</v>
      </c>
      <c r="E74" s="222"/>
      <c r="F74" s="128"/>
      <c r="G74" s="128"/>
      <c r="H74" s="128"/>
      <c r="I74" s="128"/>
      <c r="J74" s="129"/>
      <c r="K74" s="199">
        <v>-0.16625000000000001</v>
      </c>
    </row>
    <row r="75" spans="2:11" x14ac:dyDescent="0.25">
      <c r="B75" s="152"/>
      <c r="C75" s="152"/>
      <c r="D75" s="194" t="s">
        <v>173</v>
      </c>
      <c r="E75" s="195">
        <v>25.7</v>
      </c>
      <c r="F75" s="195">
        <v>15</v>
      </c>
      <c r="G75" s="195">
        <v>11.6</v>
      </c>
      <c r="H75" s="195">
        <v>9.9</v>
      </c>
      <c r="I75" s="195">
        <v>8.6999999999999993</v>
      </c>
      <c r="J75" s="195">
        <v>7.4</v>
      </c>
      <c r="K75" s="152"/>
    </row>
    <row r="76" spans="2:11" x14ac:dyDescent="0.25">
      <c r="B76" s="152"/>
      <c r="C76" s="152"/>
      <c r="D76" s="152"/>
      <c r="E76" s="152"/>
      <c r="F76" s="152"/>
      <c r="G76" s="152"/>
      <c r="H76" s="152"/>
      <c r="I76" s="152"/>
      <c r="J76" s="152"/>
      <c r="K76" s="152"/>
    </row>
    <row r="77" spans="2:11" x14ac:dyDescent="0.25">
      <c r="B77" s="152"/>
      <c r="C77" s="152"/>
      <c r="D77" s="152"/>
      <c r="E77" s="152"/>
      <c r="F77" s="152"/>
      <c r="G77" s="152"/>
      <c r="H77" s="152"/>
      <c r="I77" s="152"/>
      <c r="J77" s="152"/>
      <c r="K77" s="152"/>
    </row>
    <row r="78" spans="2:11" x14ac:dyDescent="0.25">
      <c r="B78" s="152"/>
      <c r="C78" s="152"/>
      <c r="D78" s="152"/>
      <c r="E78" s="152"/>
      <c r="F78" s="152"/>
      <c r="G78" s="152"/>
      <c r="H78" s="152"/>
      <c r="I78" s="152"/>
      <c r="J78" s="152"/>
      <c r="K78" s="152"/>
    </row>
    <row r="79" spans="2:11" ht="15.75" x14ac:dyDescent="0.25">
      <c r="B79" s="239" t="s">
        <v>18</v>
      </c>
      <c r="C79" s="239"/>
      <c r="D79" s="239"/>
      <c r="E79" s="239"/>
      <c r="F79" s="239"/>
      <c r="G79" s="239"/>
      <c r="H79" s="239"/>
      <c r="I79" s="239"/>
      <c r="J79" s="239"/>
      <c r="K79" s="152"/>
    </row>
    <row r="80" spans="2:11" x14ac:dyDescent="0.25">
      <c r="B80" s="152"/>
      <c r="C80" s="152"/>
      <c r="D80" s="152"/>
      <c r="E80" s="152"/>
      <c r="F80" s="152"/>
      <c r="G80" s="152"/>
      <c r="H80" s="152"/>
      <c r="I80" s="152"/>
      <c r="J80" s="152"/>
      <c r="K80" s="152"/>
    </row>
    <row r="81" spans="2:11" x14ac:dyDescent="0.25">
      <c r="B81" s="152"/>
      <c r="C81" s="152"/>
      <c r="D81" s="152"/>
      <c r="E81" s="238" t="s">
        <v>152</v>
      </c>
      <c r="F81" s="238"/>
      <c r="G81" s="238"/>
      <c r="H81" s="238"/>
      <c r="I81" s="238"/>
      <c r="J81" s="238"/>
      <c r="K81" s="152"/>
    </row>
    <row r="82" spans="2:11" ht="15.75" thickBot="1" x14ac:dyDescent="0.3">
      <c r="B82" s="152"/>
      <c r="C82" s="152"/>
      <c r="D82" s="152"/>
      <c r="E82" s="153" t="s">
        <v>32</v>
      </c>
      <c r="F82" s="154" t="s">
        <v>33</v>
      </c>
      <c r="G82" s="154" t="s">
        <v>34</v>
      </c>
      <c r="H82" s="154" t="s">
        <v>35</v>
      </c>
      <c r="I82" s="154" t="s">
        <v>36</v>
      </c>
      <c r="J82" s="154" t="s">
        <v>37</v>
      </c>
      <c r="K82" s="152"/>
    </row>
    <row r="83" spans="2:11" ht="15" customHeight="1" x14ac:dyDescent="0.25">
      <c r="B83" s="152"/>
      <c r="C83" s="237" t="s">
        <v>12</v>
      </c>
      <c r="D83" s="153" t="s">
        <v>1</v>
      </c>
      <c r="E83" s="130"/>
      <c r="F83" s="131"/>
      <c r="G83" s="131"/>
      <c r="H83" s="131"/>
      <c r="I83" s="131"/>
      <c r="J83" s="132"/>
      <c r="K83" s="152"/>
    </row>
    <row r="84" spans="2:11" x14ac:dyDescent="0.25">
      <c r="B84" s="152"/>
      <c r="C84" s="237"/>
      <c r="D84" s="154" t="s">
        <v>7</v>
      </c>
      <c r="E84" s="133"/>
      <c r="F84" s="134"/>
      <c r="G84" s="134"/>
      <c r="H84" s="134"/>
      <c r="I84" s="134"/>
      <c r="J84" s="135"/>
      <c r="K84" s="152"/>
    </row>
    <row r="85" spans="2:11" x14ac:dyDescent="0.25">
      <c r="B85" s="152"/>
      <c r="C85" s="237"/>
      <c r="D85" s="154" t="s">
        <v>8</v>
      </c>
      <c r="E85" s="133"/>
      <c r="F85" s="134"/>
      <c r="G85" s="134"/>
      <c r="H85" s="134"/>
      <c r="I85" s="134"/>
      <c r="J85" s="135"/>
      <c r="K85" s="152"/>
    </row>
    <row r="86" spans="2:11" x14ac:dyDescent="0.25">
      <c r="B86" s="152"/>
      <c r="C86" s="237"/>
      <c r="D86" s="154" t="s">
        <v>9</v>
      </c>
      <c r="E86" s="133"/>
      <c r="F86" s="134"/>
      <c r="G86" s="134"/>
      <c r="H86" s="134"/>
      <c r="I86" s="134"/>
      <c r="J86" s="135"/>
      <c r="K86" s="152"/>
    </row>
    <row r="87" spans="2:11" x14ac:dyDescent="0.25">
      <c r="B87" s="152"/>
      <c r="C87" s="237"/>
      <c r="D87" s="154" t="s">
        <v>10</v>
      </c>
      <c r="E87" s="133"/>
      <c r="F87" s="134"/>
      <c r="G87" s="134"/>
      <c r="H87" s="134"/>
      <c r="I87" s="134"/>
      <c r="J87" s="135"/>
      <c r="K87" s="152"/>
    </row>
    <row r="88" spans="2:11" ht="15.75" thickBot="1" x14ac:dyDescent="0.3">
      <c r="B88" s="152"/>
      <c r="C88" s="237"/>
      <c r="D88" s="154" t="s">
        <v>11</v>
      </c>
      <c r="E88" s="136"/>
      <c r="F88" s="137"/>
      <c r="G88" s="137"/>
      <c r="H88" s="137"/>
      <c r="I88" s="137"/>
      <c r="J88" s="138"/>
      <c r="K88" s="152"/>
    </row>
    <row r="89" spans="2:11" x14ac:dyDescent="0.25">
      <c r="B89" s="152"/>
      <c r="C89" s="152"/>
      <c r="D89" s="152"/>
      <c r="E89" s="152"/>
      <c r="F89" s="152"/>
      <c r="G89" s="152"/>
      <c r="H89" s="152"/>
      <c r="I89" s="152"/>
      <c r="J89" s="152"/>
      <c r="K89" s="152"/>
    </row>
    <row r="90" spans="2:11" x14ac:dyDescent="0.25">
      <c r="B90" s="152"/>
      <c r="C90" s="152"/>
      <c r="D90" s="152"/>
      <c r="E90" s="152"/>
      <c r="F90" s="152"/>
      <c r="G90" s="152"/>
      <c r="H90" s="152"/>
      <c r="I90" s="152"/>
      <c r="J90" s="152"/>
      <c r="K90" s="152"/>
    </row>
    <row r="91" spans="2:11" x14ac:dyDescent="0.25">
      <c r="B91" s="152"/>
      <c r="C91" s="152"/>
      <c r="D91" s="152"/>
      <c r="E91" s="152"/>
      <c r="F91" s="152"/>
      <c r="G91" s="152"/>
      <c r="H91" s="152"/>
      <c r="I91" s="152"/>
      <c r="J91" s="152"/>
      <c r="K91" s="152"/>
    </row>
    <row r="92" spans="2:11" x14ac:dyDescent="0.25">
      <c r="B92" s="152"/>
      <c r="C92" s="152"/>
      <c r="D92" s="152"/>
      <c r="E92" s="238" t="s">
        <v>14</v>
      </c>
      <c r="F92" s="238"/>
      <c r="G92" s="238"/>
      <c r="H92" s="238"/>
      <c r="I92" s="238"/>
      <c r="J92" s="238"/>
      <c r="K92" s="152"/>
    </row>
    <row r="93" spans="2:11" ht="15.75" thickBot="1" x14ac:dyDescent="0.3">
      <c r="B93" s="152"/>
      <c r="C93" s="152"/>
      <c r="D93" s="152"/>
      <c r="E93" s="153" t="s">
        <v>32</v>
      </c>
      <c r="F93" s="154" t="s">
        <v>33</v>
      </c>
      <c r="G93" s="154" t="s">
        <v>34</v>
      </c>
      <c r="H93" s="154" t="s">
        <v>35</v>
      </c>
      <c r="I93" s="154" t="s">
        <v>36</v>
      </c>
      <c r="J93" s="154" t="s">
        <v>37</v>
      </c>
      <c r="K93" s="198" t="s">
        <v>175</v>
      </c>
    </row>
    <row r="94" spans="2:11" ht="15" customHeight="1" x14ac:dyDescent="0.25">
      <c r="B94" s="152"/>
      <c r="C94" s="237" t="s">
        <v>12</v>
      </c>
      <c r="D94" s="153" t="s">
        <v>1</v>
      </c>
      <c r="E94" s="118"/>
      <c r="F94" s="119"/>
      <c r="G94" s="119"/>
      <c r="H94" s="119"/>
      <c r="I94" s="119"/>
      <c r="J94" s="220"/>
      <c r="K94" s="199">
        <v>-2.2499999999999999E-2</v>
      </c>
    </row>
    <row r="95" spans="2:11" x14ac:dyDescent="0.25">
      <c r="B95" s="152"/>
      <c r="C95" s="237"/>
      <c r="D95" s="154" t="s">
        <v>7</v>
      </c>
      <c r="E95" s="122"/>
      <c r="F95" s="219"/>
      <c r="G95" s="123"/>
      <c r="H95" s="123"/>
      <c r="I95" s="123"/>
      <c r="J95" s="221"/>
      <c r="K95" s="199">
        <v>-4.7500000000000001E-2</v>
      </c>
    </row>
    <row r="96" spans="2:11" x14ac:dyDescent="0.25">
      <c r="B96" s="152"/>
      <c r="C96" s="237"/>
      <c r="D96" s="154" t="s">
        <v>8</v>
      </c>
      <c r="E96" s="122"/>
      <c r="F96" s="123"/>
      <c r="G96" s="124"/>
      <c r="H96" s="124"/>
      <c r="I96" s="124"/>
      <c r="J96" s="125"/>
      <c r="K96" s="199">
        <v>-7.2499999999999995E-2</v>
      </c>
    </row>
    <row r="97" spans="2:11" x14ac:dyDescent="0.25">
      <c r="B97" s="152"/>
      <c r="C97" s="237"/>
      <c r="D97" s="154" t="s">
        <v>9</v>
      </c>
      <c r="E97" s="126"/>
      <c r="F97" s="124"/>
      <c r="G97" s="124"/>
      <c r="H97" s="124"/>
      <c r="I97" s="124"/>
      <c r="J97" s="125"/>
      <c r="K97" s="199">
        <v>-9.7500000000000003E-2</v>
      </c>
    </row>
    <row r="98" spans="2:11" x14ac:dyDescent="0.25">
      <c r="B98" s="152"/>
      <c r="C98" s="237"/>
      <c r="D98" s="154" t="s">
        <v>10</v>
      </c>
      <c r="E98" s="143"/>
      <c r="F98" s="124"/>
      <c r="G98" s="124"/>
      <c r="H98" s="124"/>
      <c r="I98" s="124"/>
      <c r="J98" s="125"/>
      <c r="K98" s="199">
        <v>-0.1225</v>
      </c>
    </row>
    <row r="99" spans="2:11" ht="15.75" thickBot="1" x14ac:dyDescent="0.3">
      <c r="B99" s="152"/>
      <c r="C99" s="237"/>
      <c r="D99" s="154" t="s">
        <v>11</v>
      </c>
      <c r="E99" s="127"/>
      <c r="F99" s="128"/>
      <c r="G99" s="128"/>
      <c r="H99" s="128"/>
      <c r="I99" s="128"/>
      <c r="J99" s="129"/>
      <c r="K99" s="199">
        <v>-0.16625000000000001</v>
      </c>
    </row>
    <row r="100" spans="2:11" x14ac:dyDescent="0.25">
      <c r="B100" s="152"/>
      <c r="C100" s="152"/>
      <c r="D100" s="194" t="s">
        <v>173</v>
      </c>
      <c r="E100" s="195">
        <v>18.8</v>
      </c>
      <c r="F100" s="195">
        <v>11</v>
      </c>
      <c r="G100" s="195">
        <v>8.5</v>
      </c>
      <c r="H100" s="195">
        <v>7.2</v>
      </c>
      <c r="I100" s="195">
        <v>6.4</v>
      </c>
      <c r="J100" s="195">
        <v>5.4</v>
      </c>
      <c r="K100" s="152"/>
    </row>
    <row r="101" spans="2:11" x14ac:dyDescent="0.25">
      <c r="B101" s="152"/>
      <c r="C101" s="152"/>
      <c r="D101" s="152"/>
      <c r="E101" s="152"/>
      <c r="F101" s="152"/>
      <c r="G101" s="152"/>
      <c r="H101" s="152"/>
      <c r="I101" s="152"/>
      <c r="J101" s="152"/>
      <c r="K101" s="152"/>
    </row>
    <row r="102" spans="2:11" x14ac:dyDescent="0.25">
      <c r="B102" s="152"/>
      <c r="C102" s="152"/>
      <c r="D102" s="152"/>
      <c r="E102" s="152"/>
      <c r="F102" s="152"/>
      <c r="G102" s="152"/>
      <c r="H102" s="152"/>
      <c r="I102" s="152"/>
      <c r="J102" s="152"/>
      <c r="K102" s="152"/>
    </row>
    <row r="103" spans="2:11" x14ac:dyDescent="0.25"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</row>
    <row r="104" spans="2:11" ht="15.75" x14ac:dyDescent="0.25">
      <c r="B104" s="239" t="s">
        <v>19</v>
      </c>
      <c r="C104" s="239"/>
      <c r="D104" s="239"/>
      <c r="E104" s="239"/>
      <c r="F104" s="239"/>
      <c r="G104" s="239"/>
      <c r="H104" s="239"/>
      <c r="I104" s="239"/>
      <c r="J104" s="239"/>
      <c r="K104" s="152"/>
    </row>
    <row r="105" spans="2:11" x14ac:dyDescent="0.25">
      <c r="B105" s="152"/>
      <c r="C105" s="152"/>
      <c r="D105" s="152"/>
      <c r="E105" s="152"/>
      <c r="F105" s="152"/>
      <c r="G105" s="152"/>
      <c r="H105" s="152"/>
      <c r="I105" s="152"/>
      <c r="J105" s="152"/>
      <c r="K105" s="152"/>
    </row>
    <row r="106" spans="2:11" x14ac:dyDescent="0.25">
      <c r="B106" s="152"/>
      <c r="C106" s="152"/>
      <c r="D106" s="152"/>
      <c r="E106" s="238" t="s">
        <v>152</v>
      </c>
      <c r="F106" s="238"/>
      <c r="G106" s="238"/>
      <c r="H106" s="238"/>
      <c r="I106" s="238"/>
      <c r="J106" s="238"/>
      <c r="K106" s="152"/>
    </row>
    <row r="107" spans="2:11" ht="15.75" thickBot="1" x14ac:dyDescent="0.3">
      <c r="B107" s="152"/>
      <c r="C107" s="152"/>
      <c r="D107" s="152"/>
      <c r="E107" s="153" t="s">
        <v>38</v>
      </c>
      <c r="F107" s="154" t="s">
        <v>39</v>
      </c>
      <c r="G107" s="154" t="s">
        <v>40</v>
      </c>
      <c r="H107" s="154" t="s">
        <v>41</v>
      </c>
      <c r="I107" s="154" t="s">
        <v>42</v>
      </c>
      <c r="J107" s="154" t="s">
        <v>43</v>
      </c>
      <c r="K107" s="197"/>
    </row>
    <row r="108" spans="2:11" ht="15" customHeight="1" x14ac:dyDescent="0.25">
      <c r="B108" s="152"/>
      <c r="C108" s="237" t="s">
        <v>12</v>
      </c>
      <c r="D108" s="153" t="s">
        <v>1</v>
      </c>
      <c r="E108" s="130"/>
      <c r="F108" s="131"/>
      <c r="G108" s="131"/>
      <c r="H108" s="131"/>
      <c r="I108" s="131"/>
      <c r="J108" s="132"/>
      <c r="K108" s="196"/>
    </row>
    <row r="109" spans="2:11" x14ac:dyDescent="0.25">
      <c r="B109" s="152"/>
      <c r="C109" s="237"/>
      <c r="D109" s="154" t="s">
        <v>7</v>
      </c>
      <c r="E109" s="133"/>
      <c r="F109" s="134"/>
      <c r="G109" s="134"/>
      <c r="H109" s="134"/>
      <c r="I109" s="134"/>
      <c r="J109" s="135"/>
      <c r="K109" s="196"/>
    </row>
    <row r="110" spans="2:11" x14ac:dyDescent="0.25">
      <c r="B110" s="152"/>
      <c r="C110" s="237"/>
      <c r="D110" s="154" t="s">
        <v>8</v>
      </c>
      <c r="E110" s="133"/>
      <c r="F110" s="134"/>
      <c r="G110" s="134"/>
      <c r="H110" s="134"/>
      <c r="I110" s="134"/>
      <c r="J110" s="135"/>
      <c r="K110" s="196"/>
    </row>
    <row r="111" spans="2:11" x14ac:dyDescent="0.25">
      <c r="B111" s="152"/>
      <c r="C111" s="237"/>
      <c r="D111" s="154" t="s">
        <v>9</v>
      </c>
      <c r="E111" s="133"/>
      <c r="F111" s="134"/>
      <c r="G111" s="134"/>
      <c r="H111" s="134"/>
      <c r="I111" s="134"/>
      <c r="J111" s="135"/>
      <c r="K111" s="196"/>
    </row>
    <row r="112" spans="2:11" x14ac:dyDescent="0.25">
      <c r="B112" s="152"/>
      <c r="C112" s="237"/>
      <c r="D112" s="154" t="s">
        <v>10</v>
      </c>
      <c r="E112" s="133"/>
      <c r="F112" s="134"/>
      <c r="G112" s="134"/>
      <c r="H112" s="134"/>
      <c r="I112" s="134"/>
      <c r="J112" s="135"/>
      <c r="K112" s="196"/>
    </row>
    <row r="113" spans="2:11" ht="15.75" thickBot="1" x14ac:dyDescent="0.3">
      <c r="B113" s="152"/>
      <c r="C113" s="237"/>
      <c r="D113" s="154" t="s">
        <v>11</v>
      </c>
      <c r="E113" s="136"/>
      <c r="F113" s="137"/>
      <c r="G113" s="137"/>
      <c r="H113" s="137"/>
      <c r="I113" s="137"/>
      <c r="J113" s="138"/>
      <c r="K113" s="196"/>
    </row>
    <row r="114" spans="2:11" x14ac:dyDescent="0.25">
      <c r="B114" s="152"/>
      <c r="C114" s="152"/>
      <c r="D114" s="152"/>
      <c r="E114" s="152"/>
      <c r="F114" s="152"/>
      <c r="G114" s="152"/>
      <c r="H114" s="152"/>
      <c r="I114" s="152"/>
      <c r="J114" s="152"/>
      <c r="K114" s="152"/>
    </row>
    <row r="115" spans="2:11" x14ac:dyDescent="0.25">
      <c r="B115" s="152"/>
      <c r="C115" s="152"/>
      <c r="D115" s="152"/>
      <c r="E115" s="152"/>
      <c r="F115" s="152"/>
      <c r="G115" s="152"/>
      <c r="H115" s="152"/>
      <c r="I115" s="152"/>
      <c r="J115" s="152"/>
      <c r="K115" s="152"/>
    </row>
    <row r="116" spans="2:11" x14ac:dyDescent="0.25">
      <c r="B116" s="152"/>
      <c r="C116" s="152"/>
      <c r="D116" s="152"/>
      <c r="E116" s="152"/>
      <c r="F116" s="152"/>
      <c r="G116" s="152"/>
      <c r="H116" s="152"/>
      <c r="I116" s="152"/>
      <c r="J116" s="152"/>
      <c r="K116" s="152"/>
    </row>
    <row r="117" spans="2:11" x14ac:dyDescent="0.25">
      <c r="B117" s="152"/>
      <c r="C117" s="152"/>
      <c r="D117" s="152"/>
      <c r="E117" s="238" t="s">
        <v>14</v>
      </c>
      <c r="F117" s="238"/>
      <c r="G117" s="238"/>
      <c r="H117" s="238"/>
      <c r="I117" s="238"/>
      <c r="J117" s="238"/>
      <c r="K117" s="152"/>
    </row>
    <row r="118" spans="2:11" ht="15.75" thickBot="1" x14ac:dyDescent="0.3">
      <c r="B118" s="152"/>
      <c r="C118" s="152"/>
      <c r="D118" s="152"/>
      <c r="E118" s="153" t="s">
        <v>38</v>
      </c>
      <c r="F118" s="154" t="s">
        <v>39</v>
      </c>
      <c r="G118" s="154" t="s">
        <v>40</v>
      </c>
      <c r="H118" s="154" t="s">
        <v>41</v>
      </c>
      <c r="I118" s="154" t="s">
        <v>42</v>
      </c>
      <c r="J118" s="154" t="s">
        <v>43</v>
      </c>
      <c r="K118" s="198" t="s">
        <v>175</v>
      </c>
    </row>
    <row r="119" spans="2:11" ht="15" customHeight="1" x14ac:dyDescent="0.25">
      <c r="B119" s="152"/>
      <c r="C119" s="237" t="s">
        <v>12</v>
      </c>
      <c r="D119" s="153" t="s">
        <v>1</v>
      </c>
      <c r="E119" s="118"/>
      <c r="F119" s="119"/>
      <c r="G119" s="119"/>
      <c r="H119" s="119"/>
      <c r="I119" s="119"/>
      <c r="J119" s="220"/>
      <c r="K119" s="199">
        <v>-1.2500000000000001E-2</v>
      </c>
    </row>
    <row r="120" spans="2:11" x14ac:dyDescent="0.25">
      <c r="B120" s="152"/>
      <c r="C120" s="237"/>
      <c r="D120" s="154" t="s">
        <v>7</v>
      </c>
      <c r="E120" s="122"/>
      <c r="F120" s="219"/>
      <c r="G120" s="123"/>
      <c r="H120" s="123"/>
      <c r="I120" s="123"/>
      <c r="J120" s="221"/>
      <c r="K120" s="199">
        <v>-3.7499999999999999E-2</v>
      </c>
    </row>
    <row r="121" spans="2:11" x14ac:dyDescent="0.25">
      <c r="B121" s="152"/>
      <c r="C121" s="237"/>
      <c r="D121" s="154" t="s">
        <v>8</v>
      </c>
      <c r="E121" s="122"/>
      <c r="F121" s="123"/>
      <c r="G121" s="124"/>
      <c r="H121" s="124"/>
      <c r="I121" s="124"/>
      <c r="J121" s="125"/>
      <c r="K121" s="199">
        <v>-6.25E-2</v>
      </c>
    </row>
    <row r="122" spans="2:11" x14ac:dyDescent="0.25">
      <c r="B122" s="152"/>
      <c r="C122" s="237"/>
      <c r="D122" s="154" t="s">
        <v>9</v>
      </c>
      <c r="E122" s="126"/>
      <c r="F122" s="124"/>
      <c r="G122" s="124"/>
      <c r="H122" s="124"/>
      <c r="I122" s="124"/>
      <c r="J122" s="125"/>
      <c r="K122" s="199">
        <v>-8.7500000000000008E-2</v>
      </c>
    </row>
    <row r="123" spans="2:11" x14ac:dyDescent="0.25">
      <c r="B123" s="152"/>
      <c r="C123" s="237"/>
      <c r="D123" s="154" t="s">
        <v>10</v>
      </c>
      <c r="E123" s="143"/>
      <c r="F123" s="124"/>
      <c r="G123" s="124"/>
      <c r="H123" s="124"/>
      <c r="I123" s="124"/>
      <c r="J123" s="125"/>
      <c r="K123" s="199">
        <v>-0.1125</v>
      </c>
    </row>
    <row r="124" spans="2:11" ht="15.75" thickBot="1" x14ac:dyDescent="0.3">
      <c r="B124" s="152"/>
      <c r="C124" s="237"/>
      <c r="D124" s="154" t="s">
        <v>11</v>
      </c>
      <c r="E124" s="127"/>
      <c r="F124" s="128"/>
      <c r="G124" s="128"/>
      <c r="H124" s="128"/>
      <c r="I124" s="128"/>
      <c r="J124" s="129"/>
      <c r="K124" s="199">
        <v>-0.15625</v>
      </c>
    </row>
    <row r="125" spans="2:11" x14ac:dyDescent="0.25">
      <c r="B125" s="152"/>
      <c r="C125" s="152"/>
      <c r="D125" s="194" t="s">
        <v>173</v>
      </c>
      <c r="E125" s="195">
        <v>19.100000000000001</v>
      </c>
      <c r="F125" s="195">
        <v>11.1</v>
      </c>
      <c r="G125" s="195">
        <v>8.6</v>
      </c>
      <c r="H125" s="195">
        <v>7.3</v>
      </c>
      <c r="I125" s="195">
        <v>6.5</v>
      </c>
      <c r="J125" s="195">
        <v>5.5</v>
      </c>
      <c r="K125" s="152"/>
    </row>
    <row r="126" spans="2:11" x14ac:dyDescent="0.25">
      <c r="B126" s="152"/>
      <c r="C126" s="152"/>
      <c r="D126" s="152"/>
      <c r="E126" s="152"/>
      <c r="F126" s="152"/>
      <c r="G126" s="152"/>
      <c r="H126" s="152"/>
      <c r="I126" s="152"/>
      <c r="J126" s="152"/>
      <c r="K126" s="152"/>
    </row>
    <row r="127" spans="2:11" x14ac:dyDescent="0.25">
      <c r="B127" s="152"/>
      <c r="C127" s="152"/>
      <c r="D127" s="152"/>
      <c r="E127" s="152"/>
      <c r="F127" s="152"/>
      <c r="G127" s="152"/>
      <c r="H127" s="152"/>
      <c r="I127" s="152"/>
      <c r="J127" s="152"/>
      <c r="K127" s="152"/>
    </row>
    <row r="128" spans="2:11" x14ac:dyDescent="0.25">
      <c r="B128" s="152"/>
      <c r="C128" s="152"/>
      <c r="D128" s="152"/>
      <c r="E128" s="152"/>
      <c r="F128" s="152"/>
      <c r="G128" s="152"/>
      <c r="H128" s="152"/>
      <c r="I128" s="152"/>
      <c r="J128" s="152"/>
      <c r="K128" s="152"/>
    </row>
    <row r="129" spans="2:11" ht="15.75" x14ac:dyDescent="0.25">
      <c r="B129" s="239" t="s">
        <v>48</v>
      </c>
      <c r="C129" s="239"/>
      <c r="D129" s="239"/>
      <c r="E129" s="239"/>
      <c r="F129" s="239"/>
      <c r="G129" s="239"/>
      <c r="H129" s="239"/>
      <c r="I129" s="239"/>
      <c r="J129" s="239"/>
      <c r="K129" s="152"/>
    </row>
    <row r="130" spans="2:11" x14ac:dyDescent="0.25">
      <c r="B130" s="152"/>
      <c r="C130" s="152"/>
      <c r="D130" s="152"/>
      <c r="E130" s="152"/>
      <c r="F130" s="152"/>
      <c r="G130" s="152"/>
      <c r="H130" s="152"/>
      <c r="I130" s="152"/>
      <c r="J130" s="152"/>
      <c r="K130" s="152"/>
    </row>
    <row r="131" spans="2:11" x14ac:dyDescent="0.25">
      <c r="B131" s="152"/>
      <c r="C131" s="152"/>
      <c r="D131" s="152"/>
      <c r="E131" s="238" t="s">
        <v>152</v>
      </c>
      <c r="F131" s="238"/>
      <c r="G131" s="238"/>
      <c r="H131" s="238"/>
      <c r="I131" s="238"/>
      <c r="J131" s="238"/>
      <c r="K131" s="152"/>
    </row>
    <row r="132" spans="2:11" ht="15.75" thickBot="1" x14ac:dyDescent="0.3">
      <c r="B132" s="152"/>
      <c r="C132" s="152"/>
      <c r="D132" s="152"/>
      <c r="E132" s="153" t="s">
        <v>127</v>
      </c>
      <c r="F132" s="154" t="s">
        <v>128</v>
      </c>
      <c r="G132" s="154" t="s">
        <v>46</v>
      </c>
      <c r="H132" s="154" t="s">
        <v>47</v>
      </c>
      <c r="I132" s="154" t="s">
        <v>63</v>
      </c>
      <c r="J132" s="154" t="s">
        <v>64</v>
      </c>
      <c r="K132" s="152"/>
    </row>
    <row r="133" spans="2:11" ht="15" customHeight="1" x14ac:dyDescent="0.25">
      <c r="B133" s="152"/>
      <c r="C133" s="237" t="s">
        <v>12</v>
      </c>
      <c r="D133" s="153" t="s">
        <v>1</v>
      </c>
      <c r="E133" s="130"/>
      <c r="F133" s="131"/>
      <c r="G133" s="131"/>
      <c r="H133" s="131"/>
      <c r="I133" s="131"/>
      <c r="J133" s="132"/>
      <c r="K133" s="152"/>
    </row>
    <row r="134" spans="2:11" x14ac:dyDescent="0.25">
      <c r="B134" s="152"/>
      <c r="C134" s="237"/>
      <c r="D134" s="154" t="s">
        <v>7</v>
      </c>
      <c r="E134" s="133"/>
      <c r="F134" s="134"/>
      <c r="G134" s="134"/>
      <c r="H134" s="134"/>
      <c r="I134" s="134"/>
      <c r="J134" s="135"/>
      <c r="K134" s="152"/>
    </row>
    <row r="135" spans="2:11" x14ac:dyDescent="0.25">
      <c r="B135" s="152"/>
      <c r="C135" s="237"/>
      <c r="D135" s="154" t="s">
        <v>8</v>
      </c>
      <c r="E135" s="133"/>
      <c r="F135" s="134"/>
      <c r="G135" s="134"/>
      <c r="H135" s="134"/>
      <c r="I135" s="134"/>
      <c r="J135" s="135"/>
      <c r="K135" s="152"/>
    </row>
    <row r="136" spans="2:11" x14ac:dyDescent="0.25">
      <c r="B136" s="152"/>
      <c r="C136" s="237"/>
      <c r="D136" s="154" t="s">
        <v>9</v>
      </c>
      <c r="E136" s="133"/>
      <c r="F136" s="134"/>
      <c r="G136" s="134"/>
      <c r="H136" s="134"/>
      <c r="I136" s="134"/>
      <c r="J136" s="135"/>
      <c r="K136" s="152"/>
    </row>
    <row r="137" spans="2:11" x14ac:dyDescent="0.25">
      <c r="B137" s="152"/>
      <c r="C137" s="237"/>
      <c r="D137" s="154" t="s">
        <v>10</v>
      </c>
      <c r="E137" s="133"/>
      <c r="F137" s="134"/>
      <c r="G137" s="134"/>
      <c r="H137" s="134"/>
      <c r="I137" s="134"/>
      <c r="J137" s="135"/>
      <c r="K137" s="152"/>
    </row>
    <row r="138" spans="2:11" ht="15.75" thickBot="1" x14ac:dyDescent="0.3">
      <c r="B138" s="152"/>
      <c r="C138" s="237"/>
      <c r="D138" s="154" t="s">
        <v>11</v>
      </c>
      <c r="E138" s="136"/>
      <c r="F138" s="137"/>
      <c r="G138" s="137"/>
      <c r="H138" s="137"/>
      <c r="I138" s="137"/>
      <c r="J138" s="138"/>
      <c r="K138" s="152"/>
    </row>
    <row r="139" spans="2:11" x14ac:dyDescent="0.25">
      <c r="B139" s="152"/>
      <c r="C139" s="152"/>
      <c r="D139" s="152"/>
      <c r="E139" s="152"/>
      <c r="F139" s="152"/>
      <c r="G139" s="152"/>
      <c r="H139" s="152"/>
      <c r="I139" s="152"/>
      <c r="J139" s="152"/>
      <c r="K139" s="152"/>
    </row>
    <row r="140" spans="2:11" x14ac:dyDescent="0.25">
      <c r="B140" s="152"/>
      <c r="C140" s="152"/>
      <c r="D140" s="152"/>
      <c r="E140" s="152"/>
      <c r="F140" s="152"/>
      <c r="G140" s="152"/>
      <c r="H140" s="152"/>
      <c r="I140" s="152"/>
      <c r="J140" s="152"/>
      <c r="K140" s="152"/>
    </row>
    <row r="141" spans="2:11" x14ac:dyDescent="0.25">
      <c r="B141" s="152"/>
      <c r="C141" s="152"/>
      <c r="D141" s="152"/>
      <c r="E141" s="152"/>
      <c r="F141" s="152"/>
      <c r="G141" s="152"/>
      <c r="H141" s="152"/>
      <c r="I141" s="152"/>
      <c r="J141" s="152"/>
      <c r="K141" s="152"/>
    </row>
    <row r="142" spans="2:11" x14ac:dyDescent="0.25">
      <c r="B142" s="152"/>
      <c r="C142" s="152"/>
      <c r="D142" s="152"/>
      <c r="E142" s="238" t="s">
        <v>14</v>
      </c>
      <c r="F142" s="238"/>
      <c r="G142" s="238"/>
      <c r="H142" s="238"/>
      <c r="I142" s="238"/>
      <c r="J142" s="238"/>
      <c r="K142" s="152"/>
    </row>
    <row r="143" spans="2:11" ht="15.75" thickBot="1" x14ac:dyDescent="0.3">
      <c r="B143" s="152"/>
      <c r="C143" s="152"/>
      <c r="D143" s="152"/>
      <c r="E143" s="153" t="s">
        <v>127</v>
      </c>
      <c r="F143" s="154" t="s">
        <v>128</v>
      </c>
      <c r="G143" s="154" t="s">
        <v>46</v>
      </c>
      <c r="H143" s="154" t="s">
        <v>47</v>
      </c>
      <c r="I143" s="154" t="s">
        <v>63</v>
      </c>
      <c r="J143" s="154" t="s">
        <v>64</v>
      </c>
      <c r="K143" s="198" t="s">
        <v>175</v>
      </c>
    </row>
    <row r="144" spans="2:11" ht="15" customHeight="1" x14ac:dyDescent="0.25">
      <c r="B144" s="152"/>
      <c r="C144" s="237" t="s">
        <v>12</v>
      </c>
      <c r="D144" s="153" t="s">
        <v>1</v>
      </c>
      <c r="E144" s="202"/>
      <c r="F144" s="120"/>
      <c r="G144" s="120"/>
      <c r="H144" s="120"/>
      <c r="I144" s="120"/>
      <c r="J144" s="121"/>
      <c r="K144" s="199">
        <v>-5.0000000000000001E-3</v>
      </c>
    </row>
    <row r="145" spans="2:11" x14ac:dyDescent="0.25">
      <c r="B145" s="152"/>
      <c r="C145" s="237"/>
      <c r="D145" s="154" t="s">
        <v>7</v>
      </c>
      <c r="E145" s="143"/>
      <c r="F145" s="124"/>
      <c r="G145" s="124"/>
      <c r="H145" s="124"/>
      <c r="I145" s="124"/>
      <c r="J145" s="125"/>
      <c r="K145" s="199">
        <v>-1.4999999999999999E-2</v>
      </c>
    </row>
    <row r="146" spans="2:11" x14ac:dyDescent="0.25">
      <c r="B146" s="152"/>
      <c r="C146" s="237"/>
      <c r="D146" s="154" t="s">
        <v>8</v>
      </c>
      <c r="E146" s="143"/>
      <c r="F146" s="124"/>
      <c r="G146" s="124"/>
      <c r="H146" s="124"/>
      <c r="I146" s="124"/>
      <c r="J146" s="125"/>
      <c r="K146" s="199">
        <v>-2.5000000000000001E-2</v>
      </c>
    </row>
    <row r="147" spans="2:11" x14ac:dyDescent="0.25">
      <c r="B147" s="152"/>
      <c r="C147" s="237"/>
      <c r="D147" s="154" t="s">
        <v>9</v>
      </c>
      <c r="E147" s="143"/>
      <c r="F147" s="124"/>
      <c r="G147" s="124"/>
      <c r="H147" s="124"/>
      <c r="I147" s="124"/>
      <c r="J147" s="125"/>
      <c r="K147" s="199">
        <v>-3.5000000000000003E-2</v>
      </c>
    </row>
    <row r="148" spans="2:11" x14ac:dyDescent="0.25">
      <c r="B148" s="152"/>
      <c r="C148" s="237"/>
      <c r="D148" s="154" t="s">
        <v>10</v>
      </c>
      <c r="E148" s="143"/>
      <c r="F148" s="124"/>
      <c r="G148" s="124"/>
      <c r="H148" s="124"/>
      <c r="I148" s="124"/>
      <c r="J148" s="125"/>
      <c r="K148" s="199">
        <v>-4.4999999999999998E-2</v>
      </c>
    </row>
    <row r="149" spans="2:11" ht="15.75" thickBot="1" x14ac:dyDescent="0.3">
      <c r="B149" s="152"/>
      <c r="C149" s="237"/>
      <c r="D149" s="154" t="s">
        <v>11</v>
      </c>
      <c r="E149" s="127"/>
      <c r="F149" s="128"/>
      <c r="G149" s="128"/>
      <c r="H149" s="128"/>
      <c r="I149" s="128"/>
      <c r="J149" s="129"/>
      <c r="K149" s="199">
        <v>-6.25E-2</v>
      </c>
    </row>
    <row r="150" spans="2:11" x14ac:dyDescent="0.25">
      <c r="B150" s="152"/>
      <c r="C150" s="152"/>
      <c r="D150" s="194" t="s">
        <v>173</v>
      </c>
      <c r="E150" s="195">
        <v>2.7</v>
      </c>
      <c r="F150" s="195">
        <v>1.5</v>
      </c>
      <c r="G150" s="195">
        <v>1.1000000000000001</v>
      </c>
      <c r="H150" s="195">
        <v>0.9</v>
      </c>
      <c r="I150" s="195">
        <v>0.8</v>
      </c>
      <c r="J150" s="195">
        <v>0.6</v>
      </c>
      <c r="K150" s="152"/>
    </row>
    <row r="151" spans="2:11" x14ac:dyDescent="0.25">
      <c r="B151" s="152"/>
      <c r="C151" s="152"/>
      <c r="D151" s="152"/>
      <c r="E151" s="152"/>
      <c r="F151" s="152"/>
      <c r="G151" s="152"/>
      <c r="H151" s="152"/>
      <c r="I151" s="152"/>
      <c r="J151" s="152"/>
      <c r="K151" s="152"/>
    </row>
    <row r="152" spans="2:11" x14ac:dyDescent="0.25">
      <c r="B152" s="152"/>
      <c r="C152" s="152"/>
      <c r="D152" s="152"/>
      <c r="E152" s="152"/>
      <c r="F152" s="152"/>
      <c r="G152" s="152"/>
      <c r="H152" s="152"/>
      <c r="I152" s="152"/>
      <c r="J152" s="152"/>
      <c r="K152" s="152"/>
    </row>
    <row r="153" spans="2:11" x14ac:dyDescent="0.25">
      <c r="B153" s="152"/>
      <c r="C153" s="152"/>
      <c r="D153" s="152"/>
      <c r="E153" s="152"/>
      <c r="F153" s="152"/>
      <c r="G153" s="152"/>
      <c r="H153" s="152"/>
      <c r="I153" s="152"/>
      <c r="J153" s="152"/>
      <c r="K153" s="152"/>
    </row>
    <row r="154" spans="2:11" ht="15.75" x14ac:dyDescent="0.25">
      <c r="B154" s="239" t="s">
        <v>49</v>
      </c>
      <c r="C154" s="239"/>
      <c r="D154" s="239"/>
      <c r="E154" s="239"/>
      <c r="F154" s="239"/>
      <c r="G154" s="239"/>
      <c r="H154" s="239"/>
      <c r="I154" s="239"/>
      <c r="J154" s="239"/>
      <c r="K154" s="152"/>
    </row>
    <row r="155" spans="2:11" x14ac:dyDescent="0.25">
      <c r="B155" s="152"/>
      <c r="C155" s="152"/>
      <c r="D155" s="152"/>
      <c r="E155" s="152"/>
      <c r="F155" s="152"/>
      <c r="G155" s="152"/>
      <c r="H155" s="152"/>
      <c r="I155" s="152"/>
      <c r="J155" s="152"/>
      <c r="K155" s="152"/>
    </row>
    <row r="156" spans="2:11" x14ac:dyDescent="0.25">
      <c r="B156" s="152"/>
      <c r="C156" s="152"/>
      <c r="D156" s="152"/>
      <c r="E156" s="238" t="s">
        <v>152</v>
      </c>
      <c r="F156" s="238"/>
      <c r="G156" s="238"/>
      <c r="H156" s="238"/>
      <c r="I156" s="238"/>
      <c r="J156" s="238"/>
      <c r="K156" s="152"/>
    </row>
    <row r="157" spans="2:11" ht="15.75" thickBot="1" x14ac:dyDescent="0.3">
      <c r="B157" s="152"/>
      <c r="C157" s="152"/>
      <c r="D157" s="152"/>
      <c r="E157" s="153" t="s">
        <v>44</v>
      </c>
      <c r="F157" s="154" t="s">
        <v>45</v>
      </c>
      <c r="G157" s="154" t="s">
        <v>46</v>
      </c>
      <c r="H157" s="154" t="s">
        <v>47</v>
      </c>
      <c r="I157" s="154" t="s">
        <v>61</v>
      </c>
      <c r="J157" s="154" t="s">
        <v>62</v>
      </c>
      <c r="K157" s="152"/>
    </row>
    <row r="158" spans="2:11" ht="15" customHeight="1" x14ac:dyDescent="0.25">
      <c r="B158" s="152"/>
      <c r="C158" s="237" t="s">
        <v>12</v>
      </c>
      <c r="D158" s="153" t="s">
        <v>1</v>
      </c>
      <c r="E158" s="130"/>
      <c r="F158" s="131"/>
      <c r="G158" s="131"/>
      <c r="H158" s="131"/>
      <c r="I158" s="131"/>
      <c r="J158" s="132"/>
      <c r="K158" s="152"/>
    </row>
    <row r="159" spans="2:11" x14ac:dyDescent="0.25">
      <c r="B159" s="152"/>
      <c r="C159" s="237"/>
      <c r="D159" s="154" t="s">
        <v>7</v>
      </c>
      <c r="E159" s="133"/>
      <c r="F159" s="134"/>
      <c r="G159" s="134"/>
      <c r="H159" s="134"/>
      <c r="I159" s="134"/>
      <c r="J159" s="135"/>
      <c r="K159" s="152"/>
    </row>
    <row r="160" spans="2:11" x14ac:dyDescent="0.25">
      <c r="B160" s="152"/>
      <c r="C160" s="237"/>
      <c r="D160" s="154" t="s">
        <v>8</v>
      </c>
      <c r="E160" s="133"/>
      <c r="F160" s="134"/>
      <c r="G160" s="134"/>
      <c r="H160" s="134"/>
      <c r="I160" s="134"/>
      <c r="J160" s="135"/>
      <c r="K160" s="152"/>
    </row>
    <row r="161" spans="2:11" x14ac:dyDescent="0.25">
      <c r="B161" s="152"/>
      <c r="C161" s="237"/>
      <c r="D161" s="154" t="s">
        <v>9</v>
      </c>
      <c r="E161" s="133"/>
      <c r="F161" s="134"/>
      <c r="G161" s="134"/>
      <c r="H161" s="134"/>
      <c r="I161" s="134"/>
      <c r="J161" s="135"/>
      <c r="K161" s="152"/>
    </row>
    <row r="162" spans="2:11" x14ac:dyDescent="0.25">
      <c r="B162" s="152"/>
      <c r="C162" s="237"/>
      <c r="D162" s="154" t="s">
        <v>10</v>
      </c>
      <c r="E162" s="133"/>
      <c r="F162" s="134"/>
      <c r="G162" s="134"/>
      <c r="H162" s="134"/>
      <c r="I162" s="134"/>
      <c r="J162" s="135"/>
      <c r="K162" s="152"/>
    </row>
    <row r="163" spans="2:11" ht="15.75" thickBot="1" x14ac:dyDescent="0.3">
      <c r="B163" s="152"/>
      <c r="C163" s="237"/>
      <c r="D163" s="154" t="s">
        <v>11</v>
      </c>
      <c r="E163" s="136"/>
      <c r="F163" s="137"/>
      <c r="G163" s="137"/>
      <c r="H163" s="137"/>
      <c r="I163" s="137"/>
      <c r="J163" s="138"/>
      <c r="K163" s="152"/>
    </row>
    <row r="164" spans="2:11" x14ac:dyDescent="0.25">
      <c r="B164" s="152"/>
      <c r="C164" s="152"/>
      <c r="D164" s="152"/>
      <c r="E164" s="152"/>
      <c r="F164" s="152"/>
      <c r="G164" s="152"/>
      <c r="H164" s="152"/>
      <c r="I164" s="152"/>
      <c r="J164" s="152"/>
      <c r="K164" s="152"/>
    </row>
    <row r="165" spans="2:11" x14ac:dyDescent="0.25">
      <c r="B165" s="152"/>
      <c r="C165" s="152"/>
      <c r="D165" s="152"/>
      <c r="E165" s="152"/>
      <c r="F165" s="152"/>
      <c r="G165" s="152"/>
      <c r="H165" s="152"/>
      <c r="I165" s="152"/>
      <c r="J165" s="152"/>
      <c r="K165" s="152"/>
    </row>
    <row r="166" spans="2:11" x14ac:dyDescent="0.25">
      <c r="B166" s="152"/>
      <c r="C166" s="152"/>
      <c r="D166" s="152"/>
      <c r="E166" s="152"/>
      <c r="F166" s="152"/>
      <c r="G166" s="152"/>
      <c r="H166" s="152"/>
      <c r="I166" s="152"/>
      <c r="J166" s="152"/>
      <c r="K166" s="152"/>
    </row>
    <row r="167" spans="2:11" x14ac:dyDescent="0.25">
      <c r="B167" s="152"/>
      <c r="C167" s="152"/>
      <c r="D167" s="152"/>
      <c r="E167" s="238" t="s">
        <v>14</v>
      </c>
      <c r="F167" s="238"/>
      <c r="G167" s="238"/>
      <c r="H167" s="238"/>
      <c r="I167" s="238"/>
      <c r="J167" s="238"/>
      <c r="K167" s="152"/>
    </row>
    <row r="168" spans="2:11" ht="15.75" thickBot="1" x14ac:dyDescent="0.3">
      <c r="B168" s="152"/>
      <c r="C168" s="152"/>
      <c r="D168" s="152"/>
      <c r="E168" s="153" t="s">
        <v>44</v>
      </c>
      <c r="F168" s="154" t="s">
        <v>45</v>
      </c>
      <c r="G168" s="154" t="s">
        <v>46</v>
      </c>
      <c r="H168" s="154" t="s">
        <v>47</v>
      </c>
      <c r="I168" s="154" t="s">
        <v>61</v>
      </c>
      <c r="J168" s="154" t="s">
        <v>62</v>
      </c>
      <c r="K168" s="198" t="s">
        <v>175</v>
      </c>
    </row>
    <row r="169" spans="2:11" ht="15" customHeight="1" x14ac:dyDescent="0.25">
      <c r="B169" s="152"/>
      <c r="C169" s="237" t="s">
        <v>12</v>
      </c>
      <c r="D169" s="153" t="s">
        <v>1</v>
      </c>
      <c r="E169" s="118"/>
      <c r="F169" s="119"/>
      <c r="G169" s="119"/>
      <c r="H169" s="119"/>
      <c r="I169" s="119"/>
      <c r="J169" s="121"/>
      <c r="K169" s="199">
        <v>-5.0000000000000001E-3</v>
      </c>
    </row>
    <row r="170" spans="2:11" x14ac:dyDescent="0.25">
      <c r="B170" s="152"/>
      <c r="C170" s="237"/>
      <c r="D170" s="154" t="s">
        <v>7</v>
      </c>
      <c r="E170" s="122"/>
      <c r="F170" s="219"/>
      <c r="G170" s="219"/>
      <c r="H170" s="123"/>
      <c r="I170" s="123"/>
      <c r="J170" s="125"/>
      <c r="K170" s="199">
        <v>-1.4999999999999999E-2</v>
      </c>
    </row>
    <row r="171" spans="2:11" x14ac:dyDescent="0.25">
      <c r="B171" s="152"/>
      <c r="C171" s="237"/>
      <c r="D171" s="154" t="s">
        <v>8</v>
      </c>
      <c r="E171" s="122"/>
      <c r="F171" s="123"/>
      <c r="G171" s="123"/>
      <c r="H171" s="124"/>
      <c r="I171" s="124"/>
      <c r="J171" s="125"/>
      <c r="K171" s="199">
        <v>-2.5000000000000001E-2</v>
      </c>
    </row>
    <row r="172" spans="2:11" x14ac:dyDescent="0.25">
      <c r="B172" s="152"/>
      <c r="C172" s="237"/>
      <c r="D172" s="154" t="s">
        <v>9</v>
      </c>
      <c r="E172" s="122"/>
      <c r="F172" s="124"/>
      <c r="G172" s="124"/>
      <c r="H172" s="124"/>
      <c r="I172" s="124"/>
      <c r="J172" s="125"/>
      <c r="K172" s="199">
        <v>-3.5000000000000003E-2</v>
      </c>
    </row>
    <row r="173" spans="2:11" x14ac:dyDescent="0.25">
      <c r="B173" s="152"/>
      <c r="C173" s="237"/>
      <c r="D173" s="154" t="s">
        <v>10</v>
      </c>
      <c r="E173" s="126"/>
      <c r="F173" s="124"/>
      <c r="G173" s="124"/>
      <c r="H173" s="124"/>
      <c r="I173" s="124"/>
      <c r="J173" s="125"/>
      <c r="K173" s="199">
        <v>-4.4999999999999998E-2</v>
      </c>
    </row>
    <row r="174" spans="2:11" ht="15.75" thickBot="1" x14ac:dyDescent="0.3">
      <c r="B174" s="152"/>
      <c r="C174" s="237"/>
      <c r="D174" s="154" t="s">
        <v>11</v>
      </c>
      <c r="E174" s="127"/>
      <c r="F174" s="128"/>
      <c r="G174" s="128"/>
      <c r="H174" s="128"/>
      <c r="I174" s="128"/>
      <c r="J174" s="129"/>
      <c r="K174" s="199">
        <v>-6.25E-2</v>
      </c>
    </row>
    <row r="175" spans="2:11" x14ac:dyDescent="0.25">
      <c r="B175" s="152"/>
      <c r="C175" s="152"/>
      <c r="D175" s="194" t="s">
        <v>173</v>
      </c>
      <c r="E175" s="195">
        <v>22.3</v>
      </c>
      <c r="F175" s="195">
        <v>13</v>
      </c>
      <c r="G175" s="195">
        <v>10.1</v>
      </c>
      <c r="H175" s="195">
        <v>8.6</v>
      </c>
      <c r="I175" s="195">
        <v>6.1</v>
      </c>
      <c r="J175" s="195">
        <v>4.5999999999999996</v>
      </c>
      <c r="K175" s="152"/>
    </row>
    <row r="176" spans="2:11" x14ac:dyDescent="0.25">
      <c r="B176" s="152"/>
      <c r="C176" s="152"/>
      <c r="D176" s="152"/>
      <c r="E176" s="152"/>
      <c r="F176" s="152"/>
      <c r="G176" s="152"/>
      <c r="H176" s="152"/>
      <c r="I176" s="152"/>
      <c r="J176" s="152"/>
      <c r="K176" s="152"/>
    </row>
    <row r="177" spans="2:11" x14ac:dyDescent="0.25">
      <c r="B177" s="152"/>
      <c r="C177" s="152"/>
      <c r="D177" s="152"/>
      <c r="E177" s="152"/>
      <c r="F177" s="152"/>
      <c r="G177" s="152"/>
      <c r="H177" s="152"/>
      <c r="I177" s="152"/>
      <c r="J177" s="152"/>
      <c r="K177" s="152"/>
    </row>
    <row r="178" spans="2:11" x14ac:dyDescent="0.25">
      <c r="B178" s="152"/>
      <c r="C178" s="152"/>
      <c r="D178" s="152"/>
      <c r="E178" s="152"/>
      <c r="F178" s="152"/>
      <c r="G178" s="152"/>
      <c r="H178" s="152"/>
      <c r="I178" s="152"/>
      <c r="J178" s="152"/>
      <c r="K178" s="152"/>
    </row>
    <row r="179" spans="2:11" ht="15.75" x14ac:dyDescent="0.25">
      <c r="B179" s="239" t="s">
        <v>50</v>
      </c>
      <c r="C179" s="239"/>
      <c r="D179" s="239"/>
      <c r="E179" s="239"/>
      <c r="F179" s="239"/>
      <c r="G179" s="239"/>
      <c r="H179" s="239"/>
      <c r="I179" s="239"/>
      <c r="J179" s="239"/>
      <c r="K179" s="152"/>
    </row>
    <row r="180" spans="2:11" x14ac:dyDescent="0.25">
      <c r="B180" s="152"/>
      <c r="C180" s="152"/>
      <c r="D180" s="152"/>
      <c r="E180" s="152"/>
      <c r="F180" s="152"/>
      <c r="G180" s="152"/>
      <c r="H180" s="152"/>
      <c r="I180" s="152"/>
      <c r="J180" s="152"/>
      <c r="K180" s="152"/>
    </row>
    <row r="181" spans="2:11" x14ac:dyDescent="0.25">
      <c r="B181" s="152"/>
      <c r="C181" s="152"/>
      <c r="D181" s="152"/>
      <c r="E181" s="238" t="s">
        <v>152</v>
      </c>
      <c r="F181" s="238"/>
      <c r="G181" s="238"/>
      <c r="H181" s="238"/>
      <c r="I181" s="238"/>
      <c r="J181" s="238"/>
      <c r="K181" s="152"/>
    </row>
    <row r="182" spans="2:11" ht="15.75" thickBot="1" x14ac:dyDescent="0.3">
      <c r="B182" s="152"/>
      <c r="C182" s="152"/>
      <c r="D182" s="152"/>
      <c r="E182" s="153" t="s">
        <v>57</v>
      </c>
      <c r="F182" s="154" t="s">
        <v>56</v>
      </c>
      <c r="G182" s="154" t="s">
        <v>52</v>
      </c>
      <c r="H182" s="154" t="s">
        <v>54</v>
      </c>
      <c r="I182" s="154" t="s">
        <v>55</v>
      </c>
      <c r="J182" s="154" t="s">
        <v>53</v>
      </c>
      <c r="K182" s="152"/>
    </row>
    <row r="183" spans="2:11" ht="15" customHeight="1" x14ac:dyDescent="0.25">
      <c r="B183" s="152"/>
      <c r="C183" s="237" t="s">
        <v>12</v>
      </c>
      <c r="D183" s="153" t="s">
        <v>1</v>
      </c>
      <c r="E183" s="130"/>
      <c r="F183" s="131"/>
      <c r="G183" s="131"/>
      <c r="H183" s="131"/>
      <c r="I183" s="131"/>
      <c r="J183" s="132"/>
      <c r="K183" s="152"/>
    </row>
    <row r="184" spans="2:11" x14ac:dyDescent="0.25">
      <c r="B184" s="152"/>
      <c r="C184" s="237"/>
      <c r="D184" s="154" t="s">
        <v>7</v>
      </c>
      <c r="E184" s="133"/>
      <c r="F184" s="134"/>
      <c r="G184" s="134"/>
      <c r="H184" s="134"/>
      <c r="I184" s="134"/>
      <c r="J184" s="135"/>
      <c r="K184" s="152"/>
    </row>
    <row r="185" spans="2:11" x14ac:dyDescent="0.25">
      <c r="B185" s="152"/>
      <c r="C185" s="237"/>
      <c r="D185" s="154" t="s">
        <v>8</v>
      </c>
      <c r="E185" s="133"/>
      <c r="F185" s="134"/>
      <c r="G185" s="134"/>
      <c r="H185" s="134"/>
      <c r="I185" s="134"/>
      <c r="J185" s="135"/>
      <c r="K185" s="152"/>
    </row>
    <row r="186" spans="2:11" x14ac:dyDescent="0.25">
      <c r="B186" s="152"/>
      <c r="C186" s="237"/>
      <c r="D186" s="154" t="s">
        <v>9</v>
      </c>
      <c r="E186" s="133"/>
      <c r="F186" s="134"/>
      <c r="G186" s="134"/>
      <c r="H186" s="134"/>
      <c r="I186" s="134"/>
      <c r="J186" s="135"/>
      <c r="K186" s="152"/>
    </row>
    <row r="187" spans="2:11" x14ac:dyDescent="0.25">
      <c r="B187" s="152"/>
      <c r="C187" s="237"/>
      <c r="D187" s="154" t="s">
        <v>10</v>
      </c>
      <c r="E187" s="133"/>
      <c r="F187" s="134"/>
      <c r="G187" s="134"/>
      <c r="H187" s="134"/>
      <c r="I187" s="134"/>
      <c r="J187" s="135"/>
      <c r="K187" s="152"/>
    </row>
    <row r="188" spans="2:11" ht="15.75" thickBot="1" x14ac:dyDescent="0.3">
      <c r="B188" s="152"/>
      <c r="C188" s="237"/>
      <c r="D188" s="154" t="s">
        <v>11</v>
      </c>
      <c r="E188" s="136"/>
      <c r="F188" s="137"/>
      <c r="G188" s="137"/>
      <c r="H188" s="137"/>
      <c r="I188" s="137"/>
      <c r="J188" s="138"/>
      <c r="K188" s="152"/>
    </row>
    <row r="189" spans="2:11" x14ac:dyDescent="0.25">
      <c r="B189" s="152"/>
      <c r="C189" s="152"/>
      <c r="D189" s="193"/>
      <c r="E189" s="152"/>
      <c r="F189" s="152"/>
      <c r="G189" s="152"/>
      <c r="H189" s="152"/>
      <c r="I189" s="152"/>
      <c r="J189" s="152"/>
      <c r="K189" s="152"/>
    </row>
    <row r="190" spans="2:11" x14ac:dyDescent="0.25">
      <c r="B190" s="152"/>
      <c r="C190" s="152"/>
      <c r="D190" s="152"/>
      <c r="E190" s="152"/>
      <c r="F190" s="152"/>
      <c r="G190" s="152"/>
      <c r="H190" s="152"/>
      <c r="I190" s="152"/>
      <c r="J190" s="152"/>
      <c r="K190" s="152"/>
    </row>
    <row r="191" spans="2:11" x14ac:dyDescent="0.25">
      <c r="B191" s="152"/>
      <c r="C191" s="152"/>
      <c r="D191" s="152"/>
      <c r="E191" s="152"/>
      <c r="F191" s="152"/>
      <c r="G191" s="152"/>
      <c r="H191" s="152"/>
      <c r="I191" s="152"/>
      <c r="J191" s="152"/>
      <c r="K191" s="152"/>
    </row>
    <row r="192" spans="2:11" x14ac:dyDescent="0.25">
      <c r="B192" s="152"/>
      <c r="C192" s="152"/>
      <c r="D192" s="152"/>
      <c r="E192" s="238" t="s">
        <v>14</v>
      </c>
      <c r="F192" s="238"/>
      <c r="G192" s="238"/>
      <c r="H192" s="238"/>
      <c r="I192" s="238"/>
      <c r="J192" s="238"/>
      <c r="K192" s="152"/>
    </row>
    <row r="193" spans="2:11" ht="15.75" thickBot="1" x14ac:dyDescent="0.3">
      <c r="B193" s="152"/>
      <c r="C193" s="152"/>
      <c r="D193" s="152"/>
      <c r="E193" s="153" t="s">
        <v>57</v>
      </c>
      <c r="F193" s="154" t="s">
        <v>56</v>
      </c>
      <c r="G193" s="154" t="s">
        <v>52</v>
      </c>
      <c r="H193" s="154" t="s">
        <v>54</v>
      </c>
      <c r="I193" s="154" t="s">
        <v>55</v>
      </c>
      <c r="J193" s="154" t="s">
        <v>53</v>
      </c>
      <c r="K193" s="198" t="s">
        <v>175</v>
      </c>
    </row>
    <row r="194" spans="2:11" ht="15" customHeight="1" x14ac:dyDescent="0.25">
      <c r="B194" s="152"/>
      <c r="C194" s="237" t="s">
        <v>12</v>
      </c>
      <c r="D194" s="153" t="s">
        <v>1</v>
      </c>
      <c r="E194" s="202"/>
      <c r="F194" s="120"/>
      <c r="G194" s="120"/>
      <c r="H194" s="120"/>
      <c r="I194" s="120"/>
      <c r="J194" s="121"/>
      <c r="K194" s="199">
        <v>-5.0000000000000001E-3</v>
      </c>
    </row>
    <row r="195" spans="2:11" x14ac:dyDescent="0.25">
      <c r="B195" s="152"/>
      <c r="C195" s="237"/>
      <c r="D195" s="154" t="s">
        <v>7</v>
      </c>
      <c r="E195" s="143"/>
      <c r="F195" s="124"/>
      <c r="G195" s="124"/>
      <c r="H195" s="124"/>
      <c r="I195" s="124"/>
      <c r="J195" s="125"/>
      <c r="K195" s="199">
        <v>-1.4999999999999999E-2</v>
      </c>
    </row>
    <row r="196" spans="2:11" x14ac:dyDescent="0.25">
      <c r="B196" s="152"/>
      <c r="C196" s="237"/>
      <c r="D196" s="154" t="s">
        <v>8</v>
      </c>
      <c r="E196" s="143"/>
      <c r="F196" s="124"/>
      <c r="G196" s="124"/>
      <c r="H196" s="124"/>
      <c r="I196" s="124"/>
      <c r="J196" s="125"/>
      <c r="K196" s="199">
        <v>-2.5000000000000001E-2</v>
      </c>
    </row>
    <row r="197" spans="2:11" x14ac:dyDescent="0.25">
      <c r="B197" s="152"/>
      <c r="C197" s="237"/>
      <c r="D197" s="154" t="s">
        <v>9</v>
      </c>
      <c r="E197" s="143"/>
      <c r="F197" s="124"/>
      <c r="G197" s="124"/>
      <c r="H197" s="124"/>
      <c r="I197" s="124"/>
      <c r="J197" s="125"/>
      <c r="K197" s="199">
        <v>-3.5000000000000003E-2</v>
      </c>
    </row>
    <row r="198" spans="2:11" x14ac:dyDescent="0.25">
      <c r="B198" s="152"/>
      <c r="C198" s="237"/>
      <c r="D198" s="154" t="s">
        <v>10</v>
      </c>
      <c r="E198" s="143"/>
      <c r="F198" s="124"/>
      <c r="G198" s="124"/>
      <c r="H198" s="124"/>
      <c r="I198" s="124"/>
      <c r="J198" s="125"/>
      <c r="K198" s="199">
        <v>-4.4999999999999998E-2</v>
      </c>
    </row>
    <row r="199" spans="2:11" ht="15.75" thickBot="1" x14ac:dyDescent="0.3">
      <c r="B199" s="152"/>
      <c r="C199" s="237"/>
      <c r="D199" s="154" t="s">
        <v>11</v>
      </c>
      <c r="E199" s="127"/>
      <c r="F199" s="128"/>
      <c r="G199" s="128"/>
      <c r="H199" s="128"/>
      <c r="I199" s="128"/>
      <c r="J199" s="129"/>
      <c r="K199" s="199">
        <v>-6.25E-2</v>
      </c>
    </row>
    <row r="200" spans="2:11" x14ac:dyDescent="0.25">
      <c r="B200" s="152"/>
      <c r="C200" s="152"/>
      <c r="D200" s="194" t="s">
        <v>173</v>
      </c>
      <c r="E200" s="195">
        <v>1.7</v>
      </c>
      <c r="F200" s="195">
        <v>1</v>
      </c>
      <c r="G200" s="195">
        <v>0.7</v>
      </c>
      <c r="H200" s="195">
        <v>0.5</v>
      </c>
      <c r="I200" s="195">
        <v>0.4</v>
      </c>
      <c r="J200" s="195">
        <v>0.4</v>
      </c>
    </row>
    <row r="204" spans="2:11" ht="15.75" x14ac:dyDescent="0.25">
      <c r="B204" s="239" t="s">
        <v>51</v>
      </c>
      <c r="C204" s="239"/>
      <c r="D204" s="239"/>
      <c r="E204" s="239"/>
      <c r="F204" s="239"/>
      <c r="G204" s="239"/>
      <c r="H204" s="239"/>
      <c r="I204" s="239"/>
      <c r="J204" s="239"/>
    </row>
    <row r="206" spans="2:11" x14ac:dyDescent="0.25">
      <c r="E206" s="241" t="s">
        <v>15</v>
      </c>
      <c r="F206" s="241"/>
      <c r="G206" s="241"/>
      <c r="H206" s="241"/>
      <c r="I206" s="241"/>
      <c r="J206" s="241"/>
    </row>
    <row r="207" spans="2:11" ht="15.75" thickBot="1" x14ac:dyDescent="0.3">
      <c r="E207" s="1" t="s">
        <v>57</v>
      </c>
      <c r="F207" s="2" t="s">
        <v>56</v>
      </c>
      <c r="G207" s="2" t="s">
        <v>52</v>
      </c>
      <c r="H207" s="2" t="s">
        <v>59</v>
      </c>
      <c r="I207" s="2" t="s">
        <v>60</v>
      </c>
      <c r="J207" s="2" t="s">
        <v>58</v>
      </c>
    </row>
    <row r="208" spans="2:11" x14ac:dyDescent="0.25">
      <c r="C208" s="242" t="s">
        <v>12</v>
      </c>
      <c r="D208" s="1" t="s">
        <v>1</v>
      </c>
      <c r="E208" s="130"/>
      <c r="F208" s="131"/>
      <c r="G208" s="131"/>
      <c r="H208" s="131"/>
      <c r="I208" s="131"/>
      <c r="J208" s="132"/>
    </row>
    <row r="209" spans="3:11" x14ac:dyDescent="0.25">
      <c r="C209" s="242"/>
      <c r="D209" s="2" t="s">
        <v>7</v>
      </c>
      <c r="E209" s="133"/>
      <c r="F209" s="134"/>
      <c r="G209" s="134"/>
      <c r="H209" s="134"/>
      <c r="I209" s="134"/>
      <c r="J209" s="135"/>
    </row>
    <row r="210" spans="3:11" x14ac:dyDescent="0.25">
      <c r="C210" s="242"/>
      <c r="D210" s="2" t="s">
        <v>8</v>
      </c>
      <c r="E210" s="133"/>
      <c r="F210" s="134"/>
      <c r="G210" s="134"/>
      <c r="H210" s="134"/>
      <c r="I210" s="134"/>
      <c r="J210" s="135"/>
    </row>
    <row r="211" spans="3:11" x14ac:dyDescent="0.25">
      <c r="C211" s="242"/>
      <c r="D211" s="2" t="s">
        <v>9</v>
      </c>
      <c r="E211" s="133"/>
      <c r="F211" s="134"/>
      <c r="G211" s="134"/>
      <c r="H211" s="134"/>
      <c r="I211" s="134"/>
      <c r="J211" s="135"/>
    </row>
    <row r="212" spans="3:11" x14ac:dyDescent="0.25">
      <c r="C212" s="242"/>
      <c r="D212" s="2" t="s">
        <v>10</v>
      </c>
      <c r="E212" s="133"/>
      <c r="F212" s="134"/>
      <c r="G212" s="134"/>
      <c r="H212" s="134"/>
      <c r="I212" s="134"/>
      <c r="J212" s="135"/>
    </row>
    <row r="213" spans="3:11" ht="15.75" thickBot="1" x14ac:dyDescent="0.3">
      <c r="C213" s="242"/>
      <c r="D213" s="2" t="s">
        <v>11</v>
      </c>
      <c r="E213" s="136"/>
      <c r="F213" s="137"/>
      <c r="G213" s="137"/>
      <c r="H213" s="137"/>
      <c r="I213" s="137"/>
      <c r="J213" s="138"/>
    </row>
    <row r="217" spans="3:11" x14ac:dyDescent="0.25">
      <c r="E217" s="241" t="s">
        <v>14</v>
      </c>
      <c r="F217" s="241"/>
      <c r="G217" s="241"/>
      <c r="H217" s="241"/>
      <c r="I217" s="241"/>
      <c r="J217" s="241"/>
    </row>
    <row r="218" spans="3:11" ht="15.75" thickBot="1" x14ac:dyDescent="0.3">
      <c r="E218" s="1" t="s">
        <v>57</v>
      </c>
      <c r="F218" s="2" t="s">
        <v>56</v>
      </c>
      <c r="G218" s="2" t="s">
        <v>52</v>
      </c>
      <c r="H218" s="2" t="s">
        <v>59</v>
      </c>
      <c r="I218" s="2" t="s">
        <v>60</v>
      </c>
      <c r="J218" s="2" t="s">
        <v>58</v>
      </c>
      <c r="K218" s="198" t="s">
        <v>175</v>
      </c>
    </row>
    <row r="219" spans="3:11" x14ac:dyDescent="0.25">
      <c r="C219" s="242" t="s">
        <v>12</v>
      </c>
      <c r="D219" s="1" t="s">
        <v>1</v>
      </c>
      <c r="E219" s="118"/>
      <c r="F219" s="119"/>
      <c r="G219" s="119"/>
      <c r="H219" s="119"/>
      <c r="I219" s="119"/>
      <c r="J219" s="121"/>
      <c r="K219" s="199">
        <v>-5.0000000000000001E-3</v>
      </c>
    </row>
    <row r="220" spans="3:11" x14ac:dyDescent="0.25">
      <c r="C220" s="242"/>
      <c r="D220" s="2" t="s">
        <v>7</v>
      </c>
      <c r="E220" s="122"/>
      <c r="F220" s="219"/>
      <c r="G220" s="123"/>
      <c r="H220" s="123"/>
      <c r="I220" s="123"/>
      <c r="J220" s="125"/>
      <c r="K220" s="199">
        <v>-1.4999999999999999E-2</v>
      </c>
    </row>
    <row r="221" spans="3:11" x14ac:dyDescent="0.25">
      <c r="C221" s="242"/>
      <c r="D221" s="2" t="s">
        <v>8</v>
      </c>
      <c r="E221" s="122"/>
      <c r="F221" s="123"/>
      <c r="G221" s="124"/>
      <c r="H221" s="124"/>
      <c r="I221" s="124"/>
      <c r="J221" s="125"/>
      <c r="K221" s="199">
        <v>-2.5000000000000001E-2</v>
      </c>
    </row>
    <row r="222" spans="3:11" x14ac:dyDescent="0.25">
      <c r="C222" s="242"/>
      <c r="D222" s="2" t="s">
        <v>9</v>
      </c>
      <c r="E222" s="122"/>
      <c r="F222" s="124"/>
      <c r="G222" s="124"/>
      <c r="H222" s="124"/>
      <c r="I222" s="124"/>
      <c r="J222" s="125"/>
      <c r="K222" s="199">
        <v>-3.5000000000000003E-2</v>
      </c>
    </row>
    <row r="223" spans="3:11" x14ac:dyDescent="0.25">
      <c r="C223" s="242"/>
      <c r="D223" s="2" t="s">
        <v>10</v>
      </c>
      <c r="E223" s="126"/>
      <c r="F223" s="124"/>
      <c r="G223" s="124"/>
      <c r="H223" s="124"/>
      <c r="I223" s="124"/>
      <c r="J223" s="125"/>
      <c r="K223" s="199">
        <v>-4.4999999999999998E-2</v>
      </c>
    </row>
    <row r="224" spans="3:11" ht="15.75" thickBot="1" x14ac:dyDescent="0.3">
      <c r="C224" s="242"/>
      <c r="D224" s="2" t="s">
        <v>11</v>
      </c>
      <c r="E224" s="127"/>
      <c r="F224" s="128"/>
      <c r="G224" s="128"/>
      <c r="H224" s="128"/>
      <c r="I224" s="128"/>
      <c r="J224" s="129"/>
      <c r="K224" s="199">
        <v>-6.25E-2</v>
      </c>
    </row>
    <row r="225" spans="4:10" x14ac:dyDescent="0.25">
      <c r="D225" s="194" t="s">
        <v>173</v>
      </c>
      <c r="E225" s="195">
        <v>22.3</v>
      </c>
      <c r="F225" s="195">
        <v>13</v>
      </c>
      <c r="G225" s="195">
        <v>9.3000000000000007</v>
      </c>
      <c r="H225" s="195">
        <v>6.6</v>
      </c>
      <c r="I225" s="195">
        <v>5.0999999999999996</v>
      </c>
      <c r="J225" s="195">
        <v>4.2</v>
      </c>
    </row>
  </sheetData>
  <sheetProtection algorithmName="SHA-512" hashValue="8JxKpns0jV9+6+t9X5bt3zfQR1ILoOdDlLC0OledK4jFIob0uEqL/Hku8AVokBwN4pqu8wkophnyr9TUj5AARw==" saltValue="QIxXNTcj4hxssbdfpxo0QA==" spinCount="100000" sheet="1" objects="1" scenarios="1" selectLockedCells="1"/>
  <mergeCells count="46">
    <mergeCell ref="E217:J217"/>
    <mergeCell ref="C219:C224"/>
    <mergeCell ref="C183:C188"/>
    <mergeCell ref="E192:J192"/>
    <mergeCell ref="C194:C199"/>
    <mergeCell ref="B204:J204"/>
    <mergeCell ref="E206:J206"/>
    <mergeCell ref="C208:C213"/>
    <mergeCell ref="E181:J181"/>
    <mergeCell ref="B129:J129"/>
    <mergeCell ref="E131:J131"/>
    <mergeCell ref="C133:C138"/>
    <mergeCell ref="E142:J142"/>
    <mergeCell ref="C144:C149"/>
    <mergeCell ref="B154:J154"/>
    <mergeCell ref="E156:J156"/>
    <mergeCell ref="C158:C163"/>
    <mergeCell ref="E167:J167"/>
    <mergeCell ref="C169:C174"/>
    <mergeCell ref="B179:J179"/>
    <mergeCell ref="C119:C124"/>
    <mergeCell ref="E67:J67"/>
    <mergeCell ref="C69:C74"/>
    <mergeCell ref="B79:J79"/>
    <mergeCell ref="E81:J81"/>
    <mergeCell ref="C83:C88"/>
    <mergeCell ref="E92:J92"/>
    <mergeCell ref="C94:C99"/>
    <mergeCell ref="B104:J104"/>
    <mergeCell ref="E106:J106"/>
    <mergeCell ref="C108:C113"/>
    <mergeCell ref="E117:J117"/>
    <mergeCell ref="C44:C49"/>
    <mergeCell ref="B54:J54"/>
    <mergeCell ref="E56:J56"/>
    <mergeCell ref="C58:C63"/>
    <mergeCell ref="C19:C24"/>
    <mergeCell ref="B29:J29"/>
    <mergeCell ref="E31:J31"/>
    <mergeCell ref="C33:C38"/>
    <mergeCell ref="E42:J42"/>
    <mergeCell ref="B2:J2"/>
    <mergeCell ref="B4:J4"/>
    <mergeCell ref="E6:J6"/>
    <mergeCell ref="C8:C13"/>
    <mergeCell ref="E17:J17"/>
  </mergeCells>
  <pageMargins left="0.25" right="0.25" top="0.75" bottom="0.75" header="0.3" footer="0.3"/>
  <pageSetup paperSize="9" scale="77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>
    <pageSetUpPr fitToPage="1"/>
  </sheetPr>
  <dimension ref="C2:X34"/>
  <sheetViews>
    <sheetView zoomScale="70" zoomScaleNormal="70" workbookViewId="0">
      <selection activeCell="C34" sqref="C34"/>
    </sheetView>
  </sheetViews>
  <sheetFormatPr defaultColWidth="11.42578125" defaultRowHeight="15" x14ac:dyDescent="0.25"/>
  <cols>
    <col min="1" max="16384" width="11.42578125" style="3"/>
  </cols>
  <sheetData>
    <row r="2" spans="3:24" x14ac:dyDescent="0.25">
      <c r="D2" s="246" t="s">
        <v>166</v>
      </c>
      <c r="E2" s="246"/>
      <c r="F2" s="246"/>
      <c r="I2" s="246" t="s">
        <v>164</v>
      </c>
      <c r="J2" s="246"/>
      <c r="K2" s="246"/>
    </row>
    <row r="3" spans="3:24" ht="14.45" x14ac:dyDescent="0.3">
      <c r="D3" s="106"/>
      <c r="E3" s="106" t="s">
        <v>137</v>
      </c>
      <c r="F3" s="106"/>
      <c r="I3" s="178" t="s">
        <v>138</v>
      </c>
      <c r="J3" s="178" t="s">
        <v>137</v>
      </c>
      <c r="K3" s="178" t="s">
        <v>136</v>
      </c>
    </row>
    <row r="4" spans="3:24" ht="14.45" x14ac:dyDescent="0.3">
      <c r="C4" s="106" t="s">
        <v>129</v>
      </c>
      <c r="D4" s="105"/>
      <c r="E4" s="187">
        <v>-5.0000000000000001E-3</v>
      </c>
      <c r="F4" s="105"/>
      <c r="H4" s="162" t="s">
        <v>129</v>
      </c>
      <c r="I4" s="105">
        <v>-7.0000000000000001E-3</v>
      </c>
      <c r="J4" s="105">
        <v>-5.0000000000000001E-3</v>
      </c>
      <c r="K4" s="105">
        <v>-3.0000000000000001E-3</v>
      </c>
    </row>
    <row r="5" spans="3:24" ht="14.45" x14ac:dyDescent="0.3">
      <c r="C5" s="106" t="s">
        <v>130</v>
      </c>
      <c r="D5" s="105"/>
      <c r="E5" s="188">
        <v>-5.0000000000000001E-3</v>
      </c>
      <c r="F5" s="105"/>
      <c r="H5" s="162" t="s">
        <v>130</v>
      </c>
      <c r="I5" s="105">
        <v>-7.0000000000000001E-3</v>
      </c>
      <c r="J5" s="105">
        <v>-5.0000000000000001E-3</v>
      </c>
      <c r="K5" s="105">
        <v>-2E-3</v>
      </c>
    </row>
    <row r="6" spans="3:24" ht="14.45" x14ac:dyDescent="0.3">
      <c r="C6" s="106" t="s">
        <v>131</v>
      </c>
      <c r="D6" s="105"/>
      <c r="E6" s="188">
        <v>-5.0000000000000001E-3</v>
      </c>
      <c r="F6" s="105"/>
      <c r="H6" s="162" t="s">
        <v>131</v>
      </c>
      <c r="I6" s="105">
        <v>-7.0000000000000001E-3</v>
      </c>
      <c r="J6" s="105">
        <v>-5.0000000000000001E-3</v>
      </c>
      <c r="K6" s="105">
        <v>-2E-3</v>
      </c>
    </row>
    <row r="7" spans="3:24" ht="14.45" x14ac:dyDescent="0.3">
      <c r="C7" s="106" t="s">
        <v>132</v>
      </c>
      <c r="D7" s="105"/>
      <c r="E7" s="188">
        <v>-5.0000000000000001E-3</v>
      </c>
      <c r="F7" s="105"/>
      <c r="H7" s="162" t="s">
        <v>132</v>
      </c>
      <c r="I7" s="105">
        <v>-4.0000000000000001E-3</v>
      </c>
      <c r="J7" s="105">
        <v>-5.0000000000000001E-3</v>
      </c>
      <c r="K7" s="105">
        <v>-2E-3</v>
      </c>
    </row>
    <row r="8" spans="3:24" ht="14.45" x14ac:dyDescent="0.3">
      <c r="C8" s="106" t="s">
        <v>133</v>
      </c>
      <c r="D8" s="105"/>
      <c r="E8" s="188">
        <v>-5.0000000000000001E-3</v>
      </c>
      <c r="F8" s="105"/>
      <c r="H8" s="162" t="s">
        <v>133</v>
      </c>
      <c r="I8" s="105">
        <v>-3.0000000000000001E-3</v>
      </c>
      <c r="J8" s="105">
        <v>-2E-3</v>
      </c>
      <c r="K8" s="105">
        <v>-1E-3</v>
      </c>
    </row>
    <row r="9" spans="3:24" ht="14.45" x14ac:dyDescent="0.3">
      <c r="C9" s="106" t="s">
        <v>134</v>
      </c>
      <c r="D9" s="105"/>
      <c r="E9" s="188">
        <v>-2E-3</v>
      </c>
      <c r="F9" s="105"/>
      <c r="H9" s="162" t="s">
        <v>134</v>
      </c>
      <c r="I9" s="105">
        <v>-3.0000000000000001E-3</v>
      </c>
      <c r="J9" s="105">
        <v>-2E-3</v>
      </c>
      <c r="K9" s="105">
        <v>-1E-3</v>
      </c>
    </row>
    <row r="10" spans="3:24" ht="14.45" x14ac:dyDescent="0.3">
      <c r="C10" s="106" t="s">
        <v>135</v>
      </c>
      <c r="D10" s="105"/>
      <c r="E10" s="188">
        <v>-2E-3</v>
      </c>
      <c r="F10" s="105"/>
      <c r="H10" s="162" t="s">
        <v>135</v>
      </c>
      <c r="I10" s="105">
        <v>-3.0000000000000001E-3</v>
      </c>
      <c r="J10" s="105">
        <v>-2E-3</v>
      </c>
      <c r="K10" s="105">
        <v>-1E-3</v>
      </c>
    </row>
    <row r="11" spans="3:24" ht="14.45" x14ac:dyDescent="0.3">
      <c r="C11" s="106" t="s">
        <v>50</v>
      </c>
      <c r="D11" s="105"/>
      <c r="E11" s="188">
        <v>-2E-3</v>
      </c>
      <c r="F11" s="105"/>
      <c r="H11" s="162" t="s">
        <v>50</v>
      </c>
      <c r="I11" s="105">
        <v>-3.0000000000000001E-3</v>
      </c>
      <c r="J11" s="105">
        <v>-2E-3</v>
      </c>
      <c r="K11" s="105">
        <v>-1E-3</v>
      </c>
    </row>
    <row r="12" spans="3:24" ht="14.45" x14ac:dyDescent="0.3">
      <c r="C12" s="106" t="s">
        <v>51</v>
      </c>
      <c r="D12" s="105"/>
      <c r="E12" s="189">
        <v>-2E-3</v>
      </c>
      <c r="F12" s="105"/>
      <c r="H12" s="162" t="s">
        <v>51</v>
      </c>
      <c r="I12" s="105">
        <v>-3.0000000000000001E-3</v>
      </c>
      <c r="J12" s="105">
        <v>-2E-3</v>
      </c>
      <c r="K12" s="105">
        <v>-1E-3</v>
      </c>
    </row>
    <row r="16" spans="3:24" ht="14.45" x14ac:dyDescent="0.3">
      <c r="M16" s="244" t="s">
        <v>140</v>
      </c>
      <c r="N16" s="244"/>
      <c r="O16" s="244"/>
      <c r="P16" s="244"/>
      <c r="Q16" s="244" t="s">
        <v>165</v>
      </c>
      <c r="R16" s="244"/>
      <c r="S16" s="244"/>
      <c r="T16" s="244"/>
      <c r="U16" s="244" t="s">
        <v>141</v>
      </c>
      <c r="V16" s="244"/>
      <c r="W16" s="244"/>
      <c r="X16" s="244"/>
    </row>
    <row r="17" spans="3:24" ht="14.45" x14ac:dyDescent="0.3">
      <c r="D17" s="247" t="s">
        <v>167</v>
      </c>
      <c r="E17" s="247"/>
      <c r="F17" s="247"/>
      <c r="I17" s="247" t="s">
        <v>139</v>
      </c>
      <c r="J17" s="247"/>
      <c r="K17" s="247"/>
      <c r="M17" s="245" t="s">
        <v>139</v>
      </c>
      <c r="N17" s="245"/>
      <c r="O17" s="245"/>
      <c r="P17" s="245"/>
      <c r="Q17" s="245" t="s">
        <v>139</v>
      </c>
      <c r="R17" s="245"/>
      <c r="S17" s="245"/>
      <c r="T17" s="245"/>
      <c r="U17" s="245" t="s">
        <v>139</v>
      </c>
      <c r="V17" s="245"/>
      <c r="W17" s="245"/>
      <c r="X17" s="245"/>
    </row>
    <row r="18" spans="3:24" ht="14.45" x14ac:dyDescent="0.3">
      <c r="D18" s="162"/>
      <c r="E18" s="162" t="s">
        <v>137</v>
      </c>
      <c r="F18" s="162"/>
      <c r="I18" s="106" t="s">
        <v>138</v>
      </c>
      <c r="J18" s="106" t="s">
        <v>137</v>
      </c>
      <c r="K18" s="106" t="s">
        <v>136</v>
      </c>
      <c r="M18" s="165" t="s">
        <v>142</v>
      </c>
      <c r="N18" s="166" t="s">
        <v>138</v>
      </c>
      <c r="O18" s="166" t="s">
        <v>137</v>
      </c>
      <c r="P18" s="167" t="s">
        <v>136</v>
      </c>
      <c r="Q18" s="165" t="s">
        <v>142</v>
      </c>
      <c r="R18" s="166" t="s">
        <v>138</v>
      </c>
      <c r="S18" s="166" t="s">
        <v>137</v>
      </c>
      <c r="T18" s="167" t="s">
        <v>136</v>
      </c>
      <c r="U18" s="165" t="s">
        <v>142</v>
      </c>
      <c r="V18" s="166" t="s">
        <v>138</v>
      </c>
      <c r="W18" s="166" t="s">
        <v>137</v>
      </c>
      <c r="X18" s="167" t="s">
        <v>136</v>
      </c>
    </row>
    <row r="19" spans="3:24" ht="14.45" x14ac:dyDescent="0.3">
      <c r="C19" s="162" t="s">
        <v>129</v>
      </c>
      <c r="D19" s="111"/>
      <c r="E19" s="190">
        <v>-0.03</v>
      </c>
      <c r="F19" s="111"/>
      <c r="H19" s="106" t="s">
        <v>129</v>
      </c>
      <c r="I19" s="111">
        <f t="shared" ref="I19:K20" si="0">+$M19*N19+$Q19*R19+$U19*V19</f>
        <v>-0.06</v>
      </c>
      <c r="J19" s="111">
        <f t="shared" si="0"/>
        <v>-0.04</v>
      </c>
      <c r="K19" s="111">
        <f t="shared" si="0"/>
        <v>-0.02</v>
      </c>
      <c r="M19" s="179">
        <v>0</v>
      </c>
      <c r="N19" s="168">
        <v>-0.01</v>
      </c>
      <c r="O19" s="168">
        <v>0</v>
      </c>
      <c r="P19" s="169">
        <v>0.01</v>
      </c>
      <c r="Q19" s="179">
        <v>1</v>
      </c>
      <c r="R19" s="168">
        <v>-0.06</v>
      </c>
      <c r="S19" s="168">
        <v>-0.04</v>
      </c>
      <c r="T19" s="169">
        <v>-0.02</v>
      </c>
      <c r="U19" s="181">
        <f>1-M19-Q19</f>
        <v>0</v>
      </c>
      <c r="V19" s="107">
        <v>-0.04</v>
      </c>
      <c r="W19" s="107">
        <v>-0.03</v>
      </c>
      <c r="X19" s="108">
        <v>-0.01</v>
      </c>
    </row>
    <row r="20" spans="3:24" ht="14.45" x14ac:dyDescent="0.3">
      <c r="C20" s="162" t="s">
        <v>130</v>
      </c>
      <c r="D20" s="111"/>
      <c r="E20" s="191">
        <v>-0.03</v>
      </c>
      <c r="F20" s="111"/>
      <c r="H20" s="106" t="s">
        <v>130</v>
      </c>
      <c r="I20" s="111">
        <f t="shared" si="0"/>
        <v>-0.04</v>
      </c>
      <c r="J20" s="111">
        <f t="shared" si="0"/>
        <v>-0.03</v>
      </c>
      <c r="K20" s="111">
        <f t="shared" si="0"/>
        <v>-0.02</v>
      </c>
      <c r="M20" s="180">
        <v>0</v>
      </c>
      <c r="N20" s="170">
        <v>-0.01</v>
      </c>
      <c r="O20" s="170">
        <v>0</v>
      </c>
      <c r="P20" s="171">
        <v>0.01</v>
      </c>
      <c r="Q20" s="180">
        <v>1</v>
      </c>
      <c r="R20" s="170">
        <v>-0.04</v>
      </c>
      <c r="S20" s="170">
        <v>-0.03</v>
      </c>
      <c r="T20" s="171">
        <v>-0.02</v>
      </c>
      <c r="U20" s="182">
        <f>1-M20-Q20</f>
        <v>0</v>
      </c>
      <c r="V20" s="109">
        <v>-0.03</v>
      </c>
      <c r="W20" s="109">
        <v>-0.02</v>
      </c>
      <c r="X20" s="110">
        <v>-0.01</v>
      </c>
    </row>
    <row r="21" spans="3:24" ht="14.45" x14ac:dyDescent="0.3">
      <c r="C21" s="162" t="s">
        <v>131</v>
      </c>
      <c r="D21" s="111"/>
      <c r="E21" s="191">
        <v>-0.01</v>
      </c>
      <c r="F21" s="111"/>
      <c r="H21" s="106" t="s">
        <v>131</v>
      </c>
      <c r="I21" s="111">
        <v>-0.01</v>
      </c>
      <c r="J21" s="111">
        <v>0</v>
      </c>
      <c r="K21" s="111">
        <v>5.0000000000000001E-3</v>
      </c>
    </row>
    <row r="22" spans="3:24" ht="14.45" x14ac:dyDescent="0.3">
      <c r="C22" s="162" t="s">
        <v>132</v>
      </c>
      <c r="D22" s="111"/>
      <c r="E22" s="191">
        <v>-0.01</v>
      </c>
      <c r="F22" s="111"/>
      <c r="H22" s="106" t="s">
        <v>132</v>
      </c>
      <c r="I22" s="111">
        <v>-0.01</v>
      </c>
      <c r="J22" s="111">
        <v>0</v>
      </c>
      <c r="K22" s="111">
        <v>5.0000000000000001E-3</v>
      </c>
    </row>
    <row r="23" spans="3:24" ht="14.45" x14ac:dyDescent="0.3">
      <c r="C23" s="162" t="s">
        <v>133</v>
      </c>
      <c r="D23" s="111"/>
      <c r="E23" s="191">
        <v>0</v>
      </c>
      <c r="F23" s="111"/>
      <c r="H23" s="106" t="s">
        <v>133</v>
      </c>
      <c r="I23" s="111">
        <v>-0.01</v>
      </c>
      <c r="J23" s="111">
        <v>0</v>
      </c>
      <c r="K23" s="111">
        <v>5.0000000000000001E-3</v>
      </c>
    </row>
    <row r="24" spans="3:24" ht="14.45" x14ac:dyDescent="0.3">
      <c r="C24" s="162" t="s">
        <v>134</v>
      </c>
      <c r="D24" s="111"/>
      <c r="E24" s="191">
        <v>0</v>
      </c>
      <c r="F24" s="111"/>
      <c r="H24" s="106" t="s">
        <v>134</v>
      </c>
      <c r="I24" s="111">
        <v>-0.01</v>
      </c>
      <c r="J24" s="111">
        <v>0</v>
      </c>
      <c r="K24" s="111">
        <v>5.0000000000000001E-3</v>
      </c>
    </row>
    <row r="25" spans="3:24" ht="14.45" x14ac:dyDescent="0.3">
      <c r="C25" s="162" t="s">
        <v>135</v>
      </c>
      <c r="D25" s="111"/>
      <c r="E25" s="191">
        <v>0</v>
      </c>
      <c r="F25" s="111"/>
      <c r="H25" s="106" t="s">
        <v>135</v>
      </c>
      <c r="I25" s="111">
        <v>-0.01</v>
      </c>
      <c r="J25" s="111">
        <v>0</v>
      </c>
      <c r="K25" s="111">
        <v>5.0000000000000001E-3</v>
      </c>
    </row>
    <row r="26" spans="3:24" ht="14.45" x14ac:dyDescent="0.3">
      <c r="C26" s="162" t="s">
        <v>50</v>
      </c>
      <c r="D26" s="111"/>
      <c r="E26" s="191">
        <v>0</v>
      </c>
      <c r="F26" s="111"/>
      <c r="H26" s="106" t="s">
        <v>50</v>
      </c>
      <c r="I26" s="111">
        <v>-0.01</v>
      </c>
      <c r="J26" s="111">
        <v>0</v>
      </c>
      <c r="K26" s="111">
        <v>5.0000000000000001E-3</v>
      </c>
    </row>
    <row r="27" spans="3:24" ht="14.45" x14ac:dyDescent="0.3">
      <c r="C27" s="162" t="s">
        <v>51</v>
      </c>
      <c r="D27" s="111"/>
      <c r="E27" s="192">
        <v>0</v>
      </c>
      <c r="F27" s="111"/>
      <c r="H27" s="106" t="s">
        <v>51</v>
      </c>
      <c r="I27" s="111">
        <v>-0.01</v>
      </c>
      <c r="J27" s="111">
        <v>0</v>
      </c>
      <c r="K27" s="111">
        <v>5.0000000000000001E-3</v>
      </c>
    </row>
    <row r="31" spans="3:24" ht="15.75" x14ac:dyDescent="0.25">
      <c r="C31" s="248" t="s">
        <v>168</v>
      </c>
      <c r="D31" s="248"/>
      <c r="E31" s="248"/>
      <c r="F31" s="248"/>
      <c r="G31" s="248"/>
      <c r="H31" s="248"/>
    </row>
    <row r="32" spans="3:24" x14ac:dyDescent="0.25">
      <c r="C32" s="103"/>
      <c r="D32" s="103" t="s">
        <v>170</v>
      </c>
      <c r="E32" s="103" t="s">
        <v>171</v>
      </c>
      <c r="F32" s="103" t="s">
        <v>169</v>
      </c>
      <c r="G32" s="103"/>
      <c r="H32" s="103"/>
    </row>
    <row r="33" spans="3:9" ht="15.75" x14ac:dyDescent="0.25">
      <c r="C33" s="103" t="s">
        <v>146</v>
      </c>
      <c r="D33" s="103" t="s">
        <v>172</v>
      </c>
      <c r="E33" s="103" t="s">
        <v>145</v>
      </c>
      <c r="F33" s="103" t="s">
        <v>143</v>
      </c>
      <c r="G33" s="103" t="s">
        <v>144</v>
      </c>
      <c r="H33" s="174" t="s">
        <v>173</v>
      </c>
    </row>
    <row r="34" spans="3:9" x14ac:dyDescent="0.25">
      <c r="C34" s="183">
        <f>OTROS!E12-0.3%</f>
        <v>-3.0000000000000001E-3</v>
      </c>
      <c r="D34" s="184">
        <v>350</v>
      </c>
      <c r="E34" s="185">
        <v>2</v>
      </c>
      <c r="F34" s="186">
        <v>40000</v>
      </c>
      <c r="G34" s="173">
        <f>+D34/(E34*F34)</f>
        <v>4.3750000000000004E-3</v>
      </c>
      <c r="H34" s="175">
        <f>1.5*(G34/-$C$34)^0.49</f>
        <v>1.8046005788963204</v>
      </c>
      <c r="I34" s="103"/>
    </row>
  </sheetData>
  <sheetProtection algorithmName="SHA-512" hashValue="QlrzjkKbhFsV5itJJZh6v74Uo4jHfAwH+RrK+HGs2LSW8nISk5mmh6m7n+xjJS0TXN8mLwju+G5wHoBu2SaynA==" saltValue="egb5ZFYWCfor4O5TBZELsA==" spinCount="100000" sheet="1" objects="1" scenarios="1" selectLockedCells="1"/>
  <mergeCells count="11">
    <mergeCell ref="D2:F2"/>
    <mergeCell ref="I17:K17"/>
    <mergeCell ref="I2:K2"/>
    <mergeCell ref="D17:F17"/>
    <mergeCell ref="C31:H31"/>
    <mergeCell ref="Q16:T16"/>
    <mergeCell ref="M16:P16"/>
    <mergeCell ref="U16:X16"/>
    <mergeCell ref="M17:P17"/>
    <mergeCell ref="Q17:T17"/>
    <mergeCell ref="U17:X17"/>
  </mergeCells>
  <pageMargins left="0.25" right="0.25" top="0.75" bottom="0.75" header="0.3" footer="0.3"/>
  <pageSetup paperSize="9" scale="52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H865"/>
  <sheetViews>
    <sheetView workbookViewId="0">
      <selection activeCell="A2" sqref="A2"/>
    </sheetView>
  </sheetViews>
  <sheetFormatPr defaultColWidth="11.5703125" defaultRowHeight="15" x14ac:dyDescent="0.25"/>
  <cols>
    <col min="1" max="1" width="11.5703125" style="208"/>
    <col min="2" max="2" width="19.85546875" style="227" bestFit="1" customWidth="1"/>
    <col min="3" max="3" width="11.5703125" style="208"/>
    <col min="4" max="4" width="33" style="208" bestFit="1" customWidth="1"/>
    <col min="5" max="16384" width="11.5703125" style="200"/>
  </cols>
  <sheetData>
    <row r="1" spans="1:8" x14ac:dyDescent="0.25">
      <c r="A1" s="201" t="s">
        <v>176</v>
      </c>
      <c r="B1" s="225" t="s">
        <v>177</v>
      </c>
      <c r="C1" s="201" t="s">
        <v>178</v>
      </c>
      <c r="D1" s="201" t="s">
        <v>182</v>
      </c>
      <c r="G1" s="200" t="s">
        <v>189</v>
      </c>
      <c r="H1" s="200">
        <f>+COUNT(A2:A1048576)</f>
        <v>835</v>
      </c>
    </row>
    <row r="2" spans="1:8" x14ac:dyDescent="0.25">
      <c r="A2" s="223">
        <v>15</v>
      </c>
      <c r="B2" s="228">
        <v>16.5</v>
      </c>
      <c r="C2" s="223">
        <v>10</v>
      </c>
      <c r="D2" s="223" t="s">
        <v>180</v>
      </c>
    </row>
    <row r="3" spans="1:8" x14ac:dyDescent="0.25">
      <c r="A3" s="223">
        <v>15</v>
      </c>
      <c r="B3" s="228">
        <v>1.333</v>
      </c>
      <c r="C3" s="223">
        <v>5</v>
      </c>
      <c r="D3" s="223" t="s">
        <v>180</v>
      </c>
    </row>
    <row r="4" spans="1:8" x14ac:dyDescent="0.25">
      <c r="A4" s="223">
        <v>15</v>
      </c>
      <c r="B4" s="228">
        <v>1.417</v>
      </c>
      <c r="C4" s="223">
        <v>30</v>
      </c>
      <c r="D4" s="223" t="s">
        <v>180</v>
      </c>
    </row>
    <row r="5" spans="1:8" x14ac:dyDescent="0.25">
      <c r="A5" s="223">
        <v>15</v>
      </c>
      <c r="B5" s="228">
        <v>39.167000000000002</v>
      </c>
      <c r="C5" s="223">
        <v>9</v>
      </c>
      <c r="D5" s="223" t="s">
        <v>180</v>
      </c>
    </row>
    <row r="6" spans="1:8" x14ac:dyDescent="0.25">
      <c r="A6" s="223">
        <v>15</v>
      </c>
      <c r="B6" s="228">
        <v>0.41699999999999998</v>
      </c>
      <c r="C6" s="223">
        <v>10</v>
      </c>
      <c r="D6" s="223" t="s">
        <v>180</v>
      </c>
    </row>
    <row r="7" spans="1:8" x14ac:dyDescent="0.25">
      <c r="A7" s="223">
        <v>15</v>
      </c>
      <c r="B7" s="228">
        <v>9.6669999999999998</v>
      </c>
      <c r="C7" s="223">
        <v>10</v>
      </c>
      <c r="D7" s="223" t="s">
        <v>180</v>
      </c>
    </row>
    <row r="8" spans="1:8" x14ac:dyDescent="0.25">
      <c r="A8" s="223">
        <v>15</v>
      </c>
      <c r="B8" s="228">
        <v>1.5</v>
      </c>
      <c r="C8" s="223">
        <v>10</v>
      </c>
      <c r="D8" s="223" t="s">
        <v>180</v>
      </c>
    </row>
    <row r="9" spans="1:8" x14ac:dyDescent="0.25">
      <c r="A9" s="223">
        <v>15</v>
      </c>
      <c r="B9" s="228">
        <v>11.5</v>
      </c>
      <c r="C9" s="223">
        <v>10</v>
      </c>
      <c r="D9" s="223" t="s">
        <v>180</v>
      </c>
    </row>
    <row r="10" spans="1:8" x14ac:dyDescent="0.25">
      <c r="A10" s="223">
        <v>15</v>
      </c>
      <c r="B10" s="228">
        <v>9.0830000000000002</v>
      </c>
      <c r="C10" s="223">
        <v>8</v>
      </c>
      <c r="D10" s="223" t="s">
        <v>180</v>
      </c>
    </row>
    <row r="11" spans="1:8" x14ac:dyDescent="0.25">
      <c r="A11" s="223">
        <v>15</v>
      </c>
      <c r="B11" s="226">
        <v>0</v>
      </c>
      <c r="C11" s="223">
        <v>8</v>
      </c>
      <c r="D11" s="223" t="s">
        <v>180</v>
      </c>
    </row>
    <row r="12" spans="1:8" x14ac:dyDescent="0.25">
      <c r="A12" s="223">
        <v>15</v>
      </c>
      <c r="B12" s="228">
        <v>4.6669999999999998</v>
      </c>
      <c r="C12" s="223">
        <v>11</v>
      </c>
      <c r="D12" s="223" t="s">
        <v>180</v>
      </c>
    </row>
    <row r="13" spans="1:8" x14ac:dyDescent="0.25">
      <c r="A13" s="223">
        <v>15</v>
      </c>
      <c r="B13" s="226">
        <v>16</v>
      </c>
      <c r="C13" s="223">
        <v>3</v>
      </c>
      <c r="D13" s="223" t="s">
        <v>180</v>
      </c>
    </row>
    <row r="14" spans="1:8" x14ac:dyDescent="0.25">
      <c r="A14" s="223">
        <v>15</v>
      </c>
      <c r="B14" s="228">
        <v>0.75</v>
      </c>
      <c r="C14" s="223">
        <v>8</v>
      </c>
      <c r="D14" s="223" t="s">
        <v>180</v>
      </c>
    </row>
    <row r="15" spans="1:8" x14ac:dyDescent="0.25">
      <c r="A15" s="223">
        <v>15</v>
      </c>
      <c r="B15" s="228">
        <v>8.75</v>
      </c>
      <c r="C15" s="223">
        <v>9</v>
      </c>
      <c r="D15" s="223" t="s">
        <v>180</v>
      </c>
    </row>
    <row r="16" spans="1:8" x14ac:dyDescent="0.25">
      <c r="A16" s="223">
        <v>15</v>
      </c>
      <c r="B16" s="228">
        <v>3.5830000000000002</v>
      </c>
      <c r="C16" s="223">
        <v>9</v>
      </c>
      <c r="D16" s="223" t="s">
        <v>180</v>
      </c>
    </row>
    <row r="17" spans="1:4" x14ac:dyDescent="0.25">
      <c r="A17" s="223">
        <v>15</v>
      </c>
      <c r="B17" s="228">
        <v>6.5</v>
      </c>
      <c r="C17" s="223">
        <v>17</v>
      </c>
      <c r="D17" s="223" t="s">
        <v>180</v>
      </c>
    </row>
    <row r="18" spans="1:4" x14ac:dyDescent="0.25">
      <c r="A18" s="223">
        <v>15</v>
      </c>
      <c r="B18" s="228">
        <v>26.167000000000002</v>
      </c>
      <c r="C18" s="223">
        <v>8</v>
      </c>
      <c r="D18" s="223" t="s">
        <v>180</v>
      </c>
    </row>
    <row r="19" spans="1:4" x14ac:dyDescent="0.25">
      <c r="A19" s="223">
        <v>15</v>
      </c>
      <c r="B19" s="228">
        <v>7.6669999999999998</v>
      </c>
      <c r="C19" s="223">
        <v>6</v>
      </c>
      <c r="D19" s="223" t="s">
        <v>180</v>
      </c>
    </row>
    <row r="20" spans="1:4" x14ac:dyDescent="0.25">
      <c r="A20" s="223">
        <v>15</v>
      </c>
      <c r="B20" s="228">
        <v>33.75</v>
      </c>
      <c r="C20" s="223">
        <v>3</v>
      </c>
      <c r="D20" s="223" t="s">
        <v>180</v>
      </c>
    </row>
    <row r="21" spans="1:4" x14ac:dyDescent="0.25">
      <c r="A21" s="223">
        <v>15</v>
      </c>
      <c r="B21" s="228">
        <v>1.333</v>
      </c>
      <c r="C21" s="223">
        <v>8</v>
      </c>
      <c r="D21" s="223" t="s">
        <v>180</v>
      </c>
    </row>
    <row r="22" spans="1:4" x14ac:dyDescent="0.25">
      <c r="A22" s="223">
        <v>15</v>
      </c>
      <c r="B22" s="228">
        <v>14.917</v>
      </c>
      <c r="C22" s="223">
        <v>20</v>
      </c>
      <c r="D22" s="223" t="s">
        <v>180</v>
      </c>
    </row>
    <row r="23" spans="1:4" x14ac:dyDescent="0.25">
      <c r="A23" s="223">
        <v>15</v>
      </c>
      <c r="B23" s="226">
        <v>0</v>
      </c>
      <c r="C23" s="223">
        <v>16</v>
      </c>
      <c r="D23" s="223" t="s">
        <v>180</v>
      </c>
    </row>
    <row r="24" spans="1:4" x14ac:dyDescent="0.25">
      <c r="A24" s="223">
        <v>15</v>
      </c>
      <c r="B24" s="228">
        <v>0.25</v>
      </c>
      <c r="C24" s="223">
        <v>8</v>
      </c>
      <c r="D24" s="223" t="s">
        <v>180</v>
      </c>
    </row>
    <row r="25" spans="1:4" x14ac:dyDescent="0.25">
      <c r="A25" s="223">
        <v>15</v>
      </c>
      <c r="B25" s="228">
        <v>2.75</v>
      </c>
      <c r="C25" s="223">
        <v>5</v>
      </c>
      <c r="D25" s="223" t="s">
        <v>180</v>
      </c>
    </row>
    <row r="26" spans="1:4" x14ac:dyDescent="0.25">
      <c r="A26" s="223">
        <v>15</v>
      </c>
      <c r="B26" s="228">
        <v>0.66700000000000004</v>
      </c>
      <c r="C26" s="223">
        <v>9</v>
      </c>
      <c r="D26" s="223" t="s">
        <v>179</v>
      </c>
    </row>
    <row r="27" spans="1:4" x14ac:dyDescent="0.25">
      <c r="A27" s="223">
        <v>15</v>
      </c>
      <c r="B27" s="228">
        <v>4.1539999999999999</v>
      </c>
      <c r="C27" s="223">
        <v>8</v>
      </c>
      <c r="D27" s="223" t="s">
        <v>179</v>
      </c>
    </row>
    <row r="28" spans="1:4" x14ac:dyDescent="0.25">
      <c r="A28" s="223">
        <v>15</v>
      </c>
      <c r="B28" s="228">
        <v>3.1539999999999999</v>
      </c>
      <c r="C28" s="223">
        <v>11</v>
      </c>
      <c r="D28" s="223" t="s">
        <v>179</v>
      </c>
    </row>
    <row r="29" spans="1:4" x14ac:dyDescent="0.25">
      <c r="A29" s="223">
        <v>15</v>
      </c>
      <c r="B29" s="226">
        <v>12</v>
      </c>
      <c r="C29" s="223">
        <v>11</v>
      </c>
      <c r="D29" s="223" t="s">
        <v>179</v>
      </c>
    </row>
    <row r="30" spans="1:4" x14ac:dyDescent="0.25">
      <c r="A30" s="223">
        <v>15</v>
      </c>
      <c r="B30" s="228">
        <v>6.1669999999999998</v>
      </c>
      <c r="C30" s="223">
        <v>9</v>
      </c>
      <c r="D30" s="223" t="s">
        <v>179</v>
      </c>
    </row>
    <row r="31" spans="1:4" x14ac:dyDescent="0.25">
      <c r="A31" s="223">
        <v>15</v>
      </c>
      <c r="B31" s="228">
        <v>24.167000000000002</v>
      </c>
      <c r="C31" s="223">
        <v>14</v>
      </c>
      <c r="D31" s="223" t="s">
        <v>179</v>
      </c>
    </row>
    <row r="32" spans="1:4" x14ac:dyDescent="0.25">
      <c r="A32" s="223">
        <v>15</v>
      </c>
      <c r="B32" s="228">
        <v>8.7690000000000001</v>
      </c>
      <c r="C32" s="223">
        <v>9</v>
      </c>
      <c r="D32" s="223" t="s">
        <v>179</v>
      </c>
    </row>
    <row r="33" spans="1:4" x14ac:dyDescent="0.25">
      <c r="A33" s="223">
        <v>15</v>
      </c>
      <c r="B33" s="228">
        <v>7.3330000000000002</v>
      </c>
      <c r="C33" s="223">
        <v>7</v>
      </c>
      <c r="D33" s="223" t="s">
        <v>179</v>
      </c>
    </row>
    <row r="34" spans="1:4" x14ac:dyDescent="0.25">
      <c r="A34" s="223">
        <v>15</v>
      </c>
      <c r="B34" s="228">
        <v>16.846</v>
      </c>
      <c r="C34" s="223">
        <v>3</v>
      </c>
      <c r="D34" s="223" t="s">
        <v>179</v>
      </c>
    </row>
    <row r="35" spans="1:4" x14ac:dyDescent="0.25">
      <c r="A35" s="223">
        <v>15</v>
      </c>
      <c r="B35" s="228">
        <v>7.3330000000000002</v>
      </c>
      <c r="C35" s="223">
        <v>9</v>
      </c>
      <c r="D35" s="223" t="s">
        <v>179</v>
      </c>
    </row>
    <row r="36" spans="1:4" x14ac:dyDescent="0.25">
      <c r="A36" s="223">
        <v>15</v>
      </c>
      <c r="B36" s="228">
        <v>9.3330000000000002</v>
      </c>
      <c r="C36" s="223">
        <v>14</v>
      </c>
      <c r="D36" s="223" t="s">
        <v>179</v>
      </c>
    </row>
    <row r="37" spans="1:4" x14ac:dyDescent="0.25">
      <c r="A37" s="223">
        <v>15</v>
      </c>
      <c r="B37" s="228">
        <v>2.25</v>
      </c>
      <c r="C37" s="223">
        <v>17</v>
      </c>
      <c r="D37" s="223" t="s">
        <v>179</v>
      </c>
    </row>
    <row r="38" spans="1:4" x14ac:dyDescent="0.25">
      <c r="A38" s="223">
        <v>15</v>
      </c>
      <c r="B38" s="228">
        <v>4.6669999999999998</v>
      </c>
      <c r="C38" s="223">
        <v>9</v>
      </c>
      <c r="D38" s="223" t="s">
        <v>179</v>
      </c>
    </row>
    <row r="39" spans="1:4" x14ac:dyDescent="0.25">
      <c r="A39" s="223">
        <v>15</v>
      </c>
      <c r="B39" s="228">
        <v>0.73299999999999998</v>
      </c>
      <c r="C39" s="223">
        <v>3</v>
      </c>
      <c r="D39" s="223" t="s">
        <v>179</v>
      </c>
    </row>
    <row r="40" spans="1:4" x14ac:dyDescent="0.25">
      <c r="A40" s="223">
        <v>15</v>
      </c>
      <c r="B40" s="228">
        <v>36.25</v>
      </c>
      <c r="C40" s="223">
        <v>3</v>
      </c>
      <c r="D40" s="223" t="s">
        <v>179</v>
      </c>
    </row>
    <row r="41" spans="1:4" x14ac:dyDescent="0.25">
      <c r="A41" s="223">
        <v>15</v>
      </c>
      <c r="B41" s="226">
        <v>3</v>
      </c>
      <c r="C41" s="223">
        <v>3</v>
      </c>
      <c r="D41" s="223" t="s">
        <v>179</v>
      </c>
    </row>
    <row r="42" spans="1:4" x14ac:dyDescent="0.25">
      <c r="A42" s="223">
        <v>15</v>
      </c>
      <c r="B42" s="228">
        <v>9.5</v>
      </c>
      <c r="C42" s="223">
        <v>14</v>
      </c>
      <c r="D42" s="223" t="s">
        <v>179</v>
      </c>
    </row>
    <row r="43" spans="1:4" x14ac:dyDescent="0.25">
      <c r="A43" s="223">
        <v>15</v>
      </c>
      <c r="B43" s="228">
        <v>12.75</v>
      </c>
      <c r="C43" s="223">
        <v>3</v>
      </c>
      <c r="D43" s="223" t="s">
        <v>179</v>
      </c>
    </row>
    <row r="44" spans="1:4" x14ac:dyDescent="0.25">
      <c r="A44" s="223">
        <v>15</v>
      </c>
      <c r="B44" s="228">
        <v>7.7690000000000001</v>
      </c>
      <c r="C44" s="223">
        <v>9</v>
      </c>
      <c r="D44" s="223" t="s">
        <v>179</v>
      </c>
    </row>
    <row r="45" spans="1:4" x14ac:dyDescent="0.25">
      <c r="A45" s="223">
        <v>15</v>
      </c>
      <c r="B45" s="228">
        <v>7.8</v>
      </c>
      <c r="C45" s="223">
        <v>7</v>
      </c>
      <c r="D45" s="223" t="s">
        <v>179</v>
      </c>
    </row>
    <row r="46" spans="1:4" x14ac:dyDescent="0.25">
      <c r="A46" s="223">
        <v>15</v>
      </c>
      <c r="B46" s="228">
        <v>7.1669999999999998</v>
      </c>
      <c r="C46" s="223">
        <v>8</v>
      </c>
      <c r="D46" s="223" t="s">
        <v>179</v>
      </c>
    </row>
    <row r="47" spans="1:4" x14ac:dyDescent="0.25">
      <c r="A47" s="223">
        <v>15</v>
      </c>
      <c r="B47" s="228">
        <v>2.4169999999999998</v>
      </c>
      <c r="C47" s="223">
        <v>3</v>
      </c>
      <c r="D47" s="223" t="s">
        <v>179</v>
      </c>
    </row>
    <row r="48" spans="1:4" x14ac:dyDescent="0.25">
      <c r="A48" s="223">
        <v>15</v>
      </c>
      <c r="B48" s="226">
        <v>10</v>
      </c>
      <c r="C48" s="223">
        <v>4</v>
      </c>
      <c r="D48" s="223" t="s">
        <v>179</v>
      </c>
    </row>
    <row r="49" spans="1:4" x14ac:dyDescent="0.25">
      <c r="A49" s="223">
        <v>15</v>
      </c>
      <c r="B49" s="228">
        <v>13.333</v>
      </c>
      <c r="C49" s="223">
        <v>10</v>
      </c>
      <c r="D49" s="223" t="s">
        <v>179</v>
      </c>
    </row>
    <row r="50" spans="1:4" x14ac:dyDescent="0.25">
      <c r="A50" s="223">
        <v>15</v>
      </c>
      <c r="B50" s="228">
        <v>2.6669999999999998</v>
      </c>
      <c r="C50" s="223">
        <v>15</v>
      </c>
      <c r="D50" s="223" t="s">
        <v>179</v>
      </c>
    </row>
    <row r="51" spans="1:4" x14ac:dyDescent="0.25">
      <c r="A51" s="223">
        <v>15</v>
      </c>
      <c r="B51" s="228">
        <v>9.75</v>
      </c>
      <c r="C51" s="223">
        <v>3</v>
      </c>
      <c r="D51" s="223" t="s">
        <v>179</v>
      </c>
    </row>
    <row r="52" spans="1:4" x14ac:dyDescent="0.25">
      <c r="A52" s="223">
        <v>15</v>
      </c>
      <c r="B52" s="228">
        <v>5.5</v>
      </c>
      <c r="C52" s="223">
        <v>11</v>
      </c>
      <c r="D52" s="223" t="s">
        <v>179</v>
      </c>
    </row>
    <row r="53" spans="1:4" x14ac:dyDescent="0.25">
      <c r="A53" s="223">
        <v>15</v>
      </c>
      <c r="B53" s="228">
        <v>0.25</v>
      </c>
      <c r="C53" s="223">
        <v>7</v>
      </c>
      <c r="D53" s="223" t="s">
        <v>179</v>
      </c>
    </row>
    <row r="54" spans="1:4" x14ac:dyDescent="0.25">
      <c r="A54" s="223">
        <v>15</v>
      </c>
      <c r="B54" s="228">
        <v>5.9169999999999998</v>
      </c>
      <c r="C54" s="223">
        <v>4</v>
      </c>
      <c r="D54" s="223" t="s">
        <v>179</v>
      </c>
    </row>
    <row r="55" spans="1:4" x14ac:dyDescent="0.25">
      <c r="A55" s="223">
        <v>15</v>
      </c>
      <c r="B55" s="226">
        <v>2</v>
      </c>
      <c r="C55" s="223">
        <v>10</v>
      </c>
      <c r="D55" s="223" t="s">
        <v>179</v>
      </c>
    </row>
    <row r="56" spans="1:4" x14ac:dyDescent="0.25">
      <c r="A56" s="223">
        <v>15</v>
      </c>
      <c r="B56" s="228">
        <v>4.4169999999999998</v>
      </c>
      <c r="C56" s="223">
        <v>9</v>
      </c>
      <c r="D56" s="223" t="s">
        <v>179</v>
      </c>
    </row>
    <row r="57" spans="1:4" x14ac:dyDescent="0.25">
      <c r="A57" s="223">
        <v>15</v>
      </c>
      <c r="B57" s="228">
        <v>2.6669999999999998</v>
      </c>
      <c r="C57" s="223">
        <v>10</v>
      </c>
      <c r="D57" s="223" t="s">
        <v>179</v>
      </c>
    </row>
    <row r="58" spans="1:4" x14ac:dyDescent="0.25">
      <c r="A58" s="223">
        <v>15</v>
      </c>
      <c r="B58" s="226">
        <v>1</v>
      </c>
      <c r="C58" s="223">
        <v>6</v>
      </c>
      <c r="D58" s="223" t="s">
        <v>179</v>
      </c>
    </row>
    <row r="59" spans="1:4" x14ac:dyDescent="0.25">
      <c r="A59" s="223">
        <v>15</v>
      </c>
      <c r="B59" s="228">
        <v>11.5</v>
      </c>
      <c r="C59" s="223">
        <v>10</v>
      </c>
      <c r="D59" s="223" t="s">
        <v>179</v>
      </c>
    </row>
    <row r="60" spans="1:4" x14ac:dyDescent="0.25">
      <c r="A60" s="223">
        <v>15</v>
      </c>
      <c r="B60" s="226">
        <v>14</v>
      </c>
      <c r="C60" s="223">
        <v>10</v>
      </c>
      <c r="D60" s="223" t="s">
        <v>179</v>
      </c>
    </row>
    <row r="61" spans="1:4" x14ac:dyDescent="0.25">
      <c r="A61" s="223">
        <v>15</v>
      </c>
      <c r="B61" s="228">
        <v>14.75</v>
      </c>
      <c r="C61" s="223">
        <v>9</v>
      </c>
      <c r="D61" s="223" t="s">
        <v>179</v>
      </c>
    </row>
    <row r="62" spans="1:4" x14ac:dyDescent="0.25">
      <c r="A62" s="223">
        <v>15</v>
      </c>
      <c r="B62" s="228">
        <v>4.0830000000000002</v>
      </c>
      <c r="C62" s="223">
        <v>10</v>
      </c>
      <c r="D62" s="223" t="s">
        <v>179</v>
      </c>
    </row>
    <row r="63" spans="1:4" x14ac:dyDescent="0.25">
      <c r="A63" s="223">
        <v>15</v>
      </c>
      <c r="B63" s="226">
        <v>0</v>
      </c>
      <c r="C63" s="223">
        <v>16</v>
      </c>
      <c r="D63" s="223" t="s">
        <v>179</v>
      </c>
    </row>
    <row r="64" spans="1:4" x14ac:dyDescent="0.25">
      <c r="A64" s="223">
        <v>15</v>
      </c>
      <c r="B64" s="228">
        <v>5.8330000000000002</v>
      </c>
      <c r="C64" s="223">
        <v>15</v>
      </c>
      <c r="D64" s="223" t="s">
        <v>179</v>
      </c>
    </row>
    <row r="65" spans="1:4" x14ac:dyDescent="0.25">
      <c r="A65" s="223">
        <v>15</v>
      </c>
      <c r="B65" s="228">
        <v>19.75</v>
      </c>
      <c r="C65" s="223">
        <v>10</v>
      </c>
      <c r="D65" s="223" t="s">
        <v>179</v>
      </c>
    </row>
    <row r="66" spans="1:4" x14ac:dyDescent="0.25">
      <c r="A66" s="223">
        <v>15</v>
      </c>
      <c r="B66" s="228">
        <v>8.1669999999999998</v>
      </c>
      <c r="C66" s="223">
        <v>8</v>
      </c>
      <c r="D66" s="223" t="s">
        <v>179</v>
      </c>
    </row>
    <row r="67" spans="1:4" x14ac:dyDescent="0.25">
      <c r="A67" s="223">
        <v>15</v>
      </c>
      <c r="B67" s="228">
        <v>7.4169999999999998</v>
      </c>
      <c r="C67" s="223">
        <v>10</v>
      </c>
      <c r="D67" s="223" t="s">
        <v>179</v>
      </c>
    </row>
    <row r="68" spans="1:4" x14ac:dyDescent="0.25">
      <c r="A68" s="223">
        <v>15</v>
      </c>
      <c r="B68" s="228">
        <v>3.1669999999999998</v>
      </c>
      <c r="C68" s="223">
        <v>10</v>
      </c>
      <c r="D68" s="223" t="s">
        <v>179</v>
      </c>
    </row>
    <row r="69" spans="1:4" x14ac:dyDescent="0.25">
      <c r="A69" s="223">
        <v>15</v>
      </c>
      <c r="B69" s="228">
        <v>2.6669999999999998</v>
      </c>
      <c r="C69" s="223">
        <v>10</v>
      </c>
      <c r="D69" s="223" t="s">
        <v>179</v>
      </c>
    </row>
    <row r="70" spans="1:4" x14ac:dyDescent="0.25">
      <c r="A70" s="223">
        <v>15</v>
      </c>
      <c r="B70" s="228">
        <v>5.4169999999999998</v>
      </c>
      <c r="C70" s="223">
        <v>10</v>
      </c>
      <c r="D70" s="223" t="s">
        <v>179</v>
      </c>
    </row>
    <row r="71" spans="1:4" x14ac:dyDescent="0.25">
      <c r="A71" s="223">
        <v>15</v>
      </c>
      <c r="B71" s="226">
        <v>0</v>
      </c>
      <c r="C71" s="223">
        <v>10</v>
      </c>
      <c r="D71" s="223" t="s">
        <v>179</v>
      </c>
    </row>
    <row r="72" spans="1:4" x14ac:dyDescent="0.25">
      <c r="A72" s="223">
        <v>15</v>
      </c>
      <c r="B72" s="226">
        <v>5</v>
      </c>
      <c r="C72" s="223">
        <v>10</v>
      </c>
      <c r="D72" s="223" t="s">
        <v>179</v>
      </c>
    </row>
    <row r="73" spans="1:4" x14ac:dyDescent="0.25">
      <c r="A73" s="223">
        <v>15</v>
      </c>
      <c r="B73" s="228">
        <v>34.917000000000002</v>
      </c>
      <c r="C73" s="223">
        <v>8</v>
      </c>
      <c r="D73" s="223" t="s">
        <v>179</v>
      </c>
    </row>
    <row r="74" spans="1:4" x14ac:dyDescent="0.25">
      <c r="A74" s="223">
        <v>15</v>
      </c>
      <c r="B74" s="228">
        <v>12.583</v>
      </c>
      <c r="C74" s="223">
        <v>8</v>
      </c>
      <c r="D74" s="223" t="s">
        <v>179</v>
      </c>
    </row>
    <row r="75" spans="1:4" x14ac:dyDescent="0.25">
      <c r="A75" s="223">
        <v>15</v>
      </c>
      <c r="B75" s="228">
        <v>7.8330000000000002</v>
      </c>
      <c r="C75" s="223">
        <v>16</v>
      </c>
      <c r="D75" s="223" t="s">
        <v>179</v>
      </c>
    </row>
    <row r="76" spans="1:4" x14ac:dyDescent="0.25">
      <c r="A76" s="223">
        <v>15</v>
      </c>
      <c r="B76" s="228">
        <v>3.75</v>
      </c>
      <c r="C76" s="223">
        <v>10</v>
      </c>
      <c r="D76" s="223" t="s">
        <v>179</v>
      </c>
    </row>
    <row r="77" spans="1:4" x14ac:dyDescent="0.25">
      <c r="A77" s="223">
        <v>15</v>
      </c>
      <c r="B77" s="228">
        <v>9.0830000000000002</v>
      </c>
      <c r="C77" s="223">
        <v>10</v>
      </c>
      <c r="D77" s="223" t="s">
        <v>179</v>
      </c>
    </row>
    <row r="78" spans="1:4" x14ac:dyDescent="0.25">
      <c r="A78" s="223">
        <v>15</v>
      </c>
      <c r="B78" s="228">
        <v>11.25</v>
      </c>
      <c r="C78" s="223">
        <v>10</v>
      </c>
      <c r="D78" s="223" t="s">
        <v>179</v>
      </c>
    </row>
    <row r="79" spans="1:4" x14ac:dyDescent="0.25">
      <c r="A79" s="223">
        <v>15</v>
      </c>
      <c r="B79" s="228">
        <v>15.083</v>
      </c>
      <c r="C79" s="223">
        <v>10</v>
      </c>
      <c r="D79" s="223" t="s">
        <v>179</v>
      </c>
    </row>
    <row r="80" spans="1:4" x14ac:dyDescent="0.25">
      <c r="A80" s="223">
        <v>15</v>
      </c>
      <c r="B80" s="226">
        <v>0</v>
      </c>
      <c r="C80" s="223">
        <v>9</v>
      </c>
      <c r="D80" s="223" t="s">
        <v>179</v>
      </c>
    </row>
    <row r="81" spans="1:4" x14ac:dyDescent="0.25">
      <c r="A81" s="223">
        <v>15</v>
      </c>
      <c r="B81" s="228">
        <v>1.583</v>
      </c>
      <c r="C81" s="223">
        <v>10</v>
      </c>
      <c r="D81" s="223" t="s">
        <v>179</v>
      </c>
    </row>
    <row r="82" spans="1:4" x14ac:dyDescent="0.25">
      <c r="A82" s="223">
        <v>15</v>
      </c>
      <c r="B82" s="228">
        <v>4.7</v>
      </c>
      <c r="C82" s="223">
        <v>2</v>
      </c>
      <c r="D82" s="223" t="s">
        <v>179</v>
      </c>
    </row>
    <row r="83" spans="1:4" x14ac:dyDescent="0.25">
      <c r="A83" s="223">
        <v>15</v>
      </c>
      <c r="B83" s="228">
        <v>1.214</v>
      </c>
      <c r="C83" s="223">
        <v>6</v>
      </c>
      <c r="D83" s="223" t="s">
        <v>179</v>
      </c>
    </row>
    <row r="84" spans="1:4" x14ac:dyDescent="0.25">
      <c r="A84" s="223">
        <v>15</v>
      </c>
      <c r="B84" s="226">
        <v>6</v>
      </c>
      <c r="C84" s="223">
        <v>10</v>
      </c>
      <c r="D84" s="223" t="s">
        <v>179</v>
      </c>
    </row>
    <row r="85" spans="1:4" x14ac:dyDescent="0.25">
      <c r="A85" s="223">
        <v>15</v>
      </c>
      <c r="B85" s="228">
        <v>5.75</v>
      </c>
      <c r="C85" s="223">
        <v>8</v>
      </c>
      <c r="D85" s="223" t="s">
        <v>179</v>
      </c>
    </row>
    <row r="86" spans="1:4" x14ac:dyDescent="0.25">
      <c r="A86" s="223">
        <v>15</v>
      </c>
      <c r="B86" s="228">
        <v>2.25</v>
      </c>
      <c r="C86" s="223">
        <v>10</v>
      </c>
      <c r="D86" s="223" t="s">
        <v>179</v>
      </c>
    </row>
    <row r="87" spans="1:4" x14ac:dyDescent="0.25">
      <c r="A87" s="223">
        <v>15</v>
      </c>
      <c r="B87" s="228">
        <v>4.9169999999999998</v>
      </c>
      <c r="C87" s="223">
        <v>8</v>
      </c>
      <c r="D87" s="223" t="s">
        <v>179</v>
      </c>
    </row>
    <row r="88" spans="1:4" x14ac:dyDescent="0.25">
      <c r="A88" s="223">
        <v>15</v>
      </c>
      <c r="B88" s="226">
        <v>0</v>
      </c>
      <c r="C88" s="223">
        <v>5</v>
      </c>
      <c r="D88" s="223" t="s">
        <v>179</v>
      </c>
    </row>
    <row r="89" spans="1:4" x14ac:dyDescent="0.25">
      <c r="A89" s="223">
        <v>15</v>
      </c>
      <c r="B89" s="228">
        <v>5.5830000000000002</v>
      </c>
      <c r="C89" s="223">
        <v>10</v>
      </c>
      <c r="D89" s="223" t="s">
        <v>179</v>
      </c>
    </row>
    <row r="90" spans="1:4" x14ac:dyDescent="0.25">
      <c r="A90" s="223">
        <v>15</v>
      </c>
      <c r="B90" s="226">
        <v>0</v>
      </c>
      <c r="C90" s="223">
        <v>10</v>
      </c>
      <c r="D90" s="223" t="s">
        <v>179</v>
      </c>
    </row>
    <row r="91" spans="1:4" x14ac:dyDescent="0.25">
      <c r="A91" s="223">
        <v>15</v>
      </c>
      <c r="B91" s="228">
        <v>21.417000000000002</v>
      </c>
      <c r="C91" s="223">
        <v>10</v>
      </c>
      <c r="D91" s="223" t="s">
        <v>179</v>
      </c>
    </row>
    <row r="92" spans="1:4" x14ac:dyDescent="0.25">
      <c r="A92" s="223">
        <v>15</v>
      </c>
      <c r="B92" s="228">
        <v>11.167</v>
      </c>
      <c r="C92" s="223">
        <v>15</v>
      </c>
      <c r="D92" s="223" t="s">
        <v>179</v>
      </c>
    </row>
    <row r="93" spans="1:4" x14ac:dyDescent="0.25">
      <c r="A93" s="223">
        <v>15</v>
      </c>
      <c r="B93" s="228">
        <v>5.6669999999999998</v>
      </c>
      <c r="C93" s="223">
        <v>10</v>
      </c>
      <c r="D93" s="223" t="s">
        <v>179</v>
      </c>
    </row>
    <row r="94" spans="1:4" x14ac:dyDescent="0.25">
      <c r="A94" s="223">
        <v>15</v>
      </c>
      <c r="B94" s="228">
        <v>1.167</v>
      </c>
      <c r="C94" s="223">
        <v>10</v>
      </c>
      <c r="D94" s="223" t="s">
        <v>179</v>
      </c>
    </row>
    <row r="95" spans="1:4" x14ac:dyDescent="0.25">
      <c r="A95" s="223">
        <v>15</v>
      </c>
      <c r="B95" s="226">
        <v>5</v>
      </c>
      <c r="C95" s="223">
        <v>9</v>
      </c>
      <c r="D95" s="223" t="s">
        <v>179</v>
      </c>
    </row>
    <row r="96" spans="1:4" x14ac:dyDescent="0.25">
      <c r="A96" s="223">
        <v>15</v>
      </c>
      <c r="B96" s="228">
        <v>0.91700000000000004</v>
      </c>
      <c r="C96" s="223">
        <v>10</v>
      </c>
      <c r="D96" s="223" t="s">
        <v>179</v>
      </c>
    </row>
    <row r="97" spans="1:4" x14ac:dyDescent="0.25">
      <c r="A97" s="223">
        <v>15</v>
      </c>
      <c r="B97" s="228">
        <v>9.3330000000000002</v>
      </c>
      <c r="C97" s="223">
        <v>10</v>
      </c>
      <c r="D97" s="223" t="s">
        <v>179</v>
      </c>
    </row>
    <row r="98" spans="1:4" x14ac:dyDescent="0.25">
      <c r="A98" s="223">
        <v>15</v>
      </c>
      <c r="B98" s="228">
        <v>2.4169999999999998</v>
      </c>
      <c r="C98" s="223">
        <v>3</v>
      </c>
      <c r="D98" s="223" t="s">
        <v>179</v>
      </c>
    </row>
    <row r="99" spans="1:4" x14ac:dyDescent="0.25">
      <c r="A99" s="223">
        <v>15</v>
      </c>
      <c r="B99" s="228">
        <v>6.8330000000000002</v>
      </c>
      <c r="C99" s="223">
        <v>9</v>
      </c>
      <c r="D99" s="223" t="s">
        <v>179</v>
      </c>
    </row>
    <row r="100" spans="1:4" x14ac:dyDescent="0.25">
      <c r="A100" s="223">
        <v>15</v>
      </c>
      <c r="B100" s="228">
        <v>12.083</v>
      </c>
      <c r="C100" s="223">
        <v>12</v>
      </c>
      <c r="D100" s="223" t="s">
        <v>179</v>
      </c>
    </row>
    <row r="101" spans="1:4" x14ac:dyDescent="0.25">
      <c r="A101" s="223">
        <v>15</v>
      </c>
      <c r="B101" s="228">
        <v>10.5</v>
      </c>
      <c r="C101" s="223">
        <v>10</v>
      </c>
      <c r="D101" s="223" t="s">
        <v>179</v>
      </c>
    </row>
    <row r="102" spans="1:4" x14ac:dyDescent="0.25">
      <c r="A102" s="223">
        <v>15</v>
      </c>
      <c r="B102" s="228">
        <v>2.5830000000000002</v>
      </c>
      <c r="C102" s="223">
        <v>10</v>
      </c>
      <c r="D102" s="223" t="s">
        <v>179</v>
      </c>
    </row>
    <row r="103" spans="1:4" x14ac:dyDescent="0.25">
      <c r="A103" s="223">
        <v>15</v>
      </c>
      <c r="B103" s="228">
        <v>7.0830000000000002</v>
      </c>
      <c r="C103" s="223">
        <v>9</v>
      </c>
      <c r="D103" s="223" t="s">
        <v>179</v>
      </c>
    </row>
    <row r="104" spans="1:4" x14ac:dyDescent="0.25">
      <c r="A104" s="223">
        <v>15</v>
      </c>
      <c r="B104" s="228">
        <v>6.3330000000000002</v>
      </c>
      <c r="C104" s="223">
        <v>9</v>
      </c>
      <c r="D104" s="223" t="s">
        <v>179</v>
      </c>
    </row>
    <row r="105" spans="1:4" x14ac:dyDescent="0.25">
      <c r="A105" s="223">
        <v>15</v>
      </c>
      <c r="B105" s="226">
        <v>0</v>
      </c>
      <c r="C105" s="223">
        <v>9</v>
      </c>
      <c r="D105" s="223" t="s">
        <v>179</v>
      </c>
    </row>
    <row r="106" spans="1:4" x14ac:dyDescent="0.25">
      <c r="A106" s="223">
        <v>15</v>
      </c>
      <c r="B106" s="228">
        <v>12.833</v>
      </c>
      <c r="C106" s="223">
        <v>13</v>
      </c>
      <c r="D106" s="223" t="s">
        <v>179</v>
      </c>
    </row>
    <row r="107" spans="1:4" x14ac:dyDescent="0.25">
      <c r="A107" s="223">
        <v>15</v>
      </c>
      <c r="B107" s="228">
        <v>2.1669999999999998</v>
      </c>
      <c r="C107" s="223">
        <v>9</v>
      </c>
      <c r="D107" s="223" t="s">
        <v>179</v>
      </c>
    </row>
    <row r="108" spans="1:4" x14ac:dyDescent="0.25">
      <c r="A108" s="223">
        <v>15</v>
      </c>
      <c r="B108" s="228">
        <v>2.75</v>
      </c>
      <c r="C108" s="223">
        <v>9</v>
      </c>
      <c r="D108" s="223" t="s">
        <v>179</v>
      </c>
    </row>
    <row r="109" spans="1:4" x14ac:dyDescent="0.25">
      <c r="A109" s="223">
        <v>15</v>
      </c>
      <c r="B109" s="228">
        <v>10.917</v>
      </c>
      <c r="C109" s="223">
        <v>10</v>
      </c>
      <c r="D109" s="223" t="s">
        <v>179</v>
      </c>
    </row>
    <row r="110" spans="1:4" x14ac:dyDescent="0.25">
      <c r="A110" s="223">
        <v>15</v>
      </c>
      <c r="B110" s="228">
        <v>1.214</v>
      </c>
      <c r="C110" s="223">
        <v>9</v>
      </c>
      <c r="D110" s="223" t="s">
        <v>179</v>
      </c>
    </row>
    <row r="111" spans="1:4" x14ac:dyDescent="0.25">
      <c r="A111" s="223">
        <v>15</v>
      </c>
      <c r="B111" s="228">
        <v>2.75</v>
      </c>
      <c r="C111" s="223">
        <v>9</v>
      </c>
      <c r="D111" s="223" t="s">
        <v>179</v>
      </c>
    </row>
    <row r="112" spans="1:4" x14ac:dyDescent="0.25">
      <c r="A112" s="223">
        <v>15</v>
      </c>
      <c r="B112" s="228">
        <v>0.83299999999999996</v>
      </c>
      <c r="C112" s="223">
        <v>9</v>
      </c>
      <c r="D112" s="223" t="s">
        <v>179</v>
      </c>
    </row>
    <row r="113" spans="1:4" x14ac:dyDescent="0.25">
      <c r="A113" s="223">
        <v>15</v>
      </c>
      <c r="B113" s="228">
        <v>18.25</v>
      </c>
      <c r="C113" s="223">
        <v>9</v>
      </c>
      <c r="D113" s="223" t="s">
        <v>179</v>
      </c>
    </row>
    <row r="114" spans="1:4" x14ac:dyDescent="0.25">
      <c r="A114" s="223">
        <v>15</v>
      </c>
      <c r="B114" s="228">
        <v>5.75</v>
      </c>
      <c r="C114" s="223">
        <v>6</v>
      </c>
      <c r="D114" s="223" t="s">
        <v>179</v>
      </c>
    </row>
    <row r="115" spans="1:4" x14ac:dyDescent="0.25">
      <c r="A115" s="223">
        <v>15</v>
      </c>
      <c r="B115" s="228">
        <v>6.3330000000000002</v>
      </c>
      <c r="C115" s="223">
        <v>9</v>
      </c>
      <c r="D115" s="223" t="s">
        <v>179</v>
      </c>
    </row>
    <row r="116" spans="1:4" x14ac:dyDescent="0.25">
      <c r="A116" s="223">
        <v>15</v>
      </c>
      <c r="B116" s="228">
        <v>5.0830000000000002</v>
      </c>
      <c r="C116" s="223">
        <v>9</v>
      </c>
      <c r="D116" s="223" t="s">
        <v>179</v>
      </c>
    </row>
    <row r="117" spans="1:4" x14ac:dyDescent="0.25">
      <c r="A117" s="223">
        <v>15</v>
      </c>
      <c r="B117" s="228">
        <v>18.582999999999998</v>
      </c>
      <c r="C117" s="223">
        <v>9</v>
      </c>
      <c r="D117" s="223" t="s">
        <v>179</v>
      </c>
    </row>
    <row r="118" spans="1:4" x14ac:dyDescent="0.25">
      <c r="A118" s="223">
        <v>15</v>
      </c>
      <c r="B118" s="226">
        <v>14.417</v>
      </c>
      <c r="C118" s="223">
        <v>9</v>
      </c>
      <c r="D118" s="223" t="s">
        <v>179</v>
      </c>
    </row>
    <row r="119" spans="1:4" x14ac:dyDescent="0.25">
      <c r="A119" s="223">
        <v>15</v>
      </c>
      <c r="B119" s="226">
        <v>9.6669999999999998</v>
      </c>
      <c r="C119" s="223">
        <v>10</v>
      </c>
      <c r="D119" s="223" t="s">
        <v>179</v>
      </c>
    </row>
    <row r="120" spans="1:4" x14ac:dyDescent="0.25">
      <c r="A120" s="223">
        <v>15</v>
      </c>
      <c r="B120" s="226">
        <v>3.6669999999999998</v>
      </c>
      <c r="C120" s="223">
        <v>10</v>
      </c>
      <c r="D120" s="223" t="s">
        <v>179</v>
      </c>
    </row>
    <row r="121" spans="1:4" x14ac:dyDescent="0.25">
      <c r="A121" s="223">
        <v>15</v>
      </c>
      <c r="B121" s="228">
        <v>17.082999999999998</v>
      </c>
      <c r="C121" s="223">
        <v>9</v>
      </c>
      <c r="D121" s="223" t="s">
        <v>179</v>
      </c>
    </row>
    <row r="122" spans="1:4" x14ac:dyDescent="0.25">
      <c r="A122" s="223">
        <v>15</v>
      </c>
      <c r="B122" s="226">
        <v>13</v>
      </c>
      <c r="C122" s="223">
        <v>9</v>
      </c>
      <c r="D122" s="223" t="s">
        <v>179</v>
      </c>
    </row>
    <row r="123" spans="1:4" x14ac:dyDescent="0.25">
      <c r="A123" s="223">
        <v>15</v>
      </c>
      <c r="B123" s="228">
        <v>0.83299999999999996</v>
      </c>
      <c r="C123" s="223">
        <v>9</v>
      </c>
      <c r="D123" s="223" t="s">
        <v>179</v>
      </c>
    </row>
    <row r="124" spans="1:4" x14ac:dyDescent="0.25">
      <c r="A124" s="223">
        <v>15</v>
      </c>
      <c r="B124" s="228">
        <v>0.41699999999999998</v>
      </c>
      <c r="C124" s="223">
        <v>9</v>
      </c>
      <c r="D124" s="223" t="s">
        <v>179</v>
      </c>
    </row>
    <row r="125" spans="1:4" x14ac:dyDescent="0.25">
      <c r="A125" s="223">
        <v>15</v>
      </c>
      <c r="B125" s="228">
        <v>0.16700000000000001</v>
      </c>
      <c r="C125" s="223">
        <v>9</v>
      </c>
      <c r="D125" s="223" t="s">
        <v>179</v>
      </c>
    </row>
    <row r="126" spans="1:4" x14ac:dyDescent="0.25">
      <c r="A126" s="223">
        <v>15</v>
      </c>
      <c r="B126" s="228">
        <v>24.917000000000002</v>
      </c>
      <c r="C126" s="223">
        <v>9</v>
      </c>
      <c r="D126" s="223" t="s">
        <v>179</v>
      </c>
    </row>
    <row r="127" spans="1:4" x14ac:dyDescent="0.25">
      <c r="A127" s="223">
        <v>15</v>
      </c>
      <c r="B127" s="228">
        <v>5.4169999999999998</v>
      </c>
      <c r="C127" s="223">
        <v>17</v>
      </c>
      <c r="D127" s="223" t="s">
        <v>179</v>
      </c>
    </row>
    <row r="128" spans="1:4" x14ac:dyDescent="0.25">
      <c r="A128" s="223">
        <v>15</v>
      </c>
      <c r="B128" s="226">
        <v>0</v>
      </c>
      <c r="C128" s="223">
        <v>9</v>
      </c>
      <c r="D128" s="223" t="s">
        <v>179</v>
      </c>
    </row>
    <row r="129" spans="1:4" x14ac:dyDescent="0.25">
      <c r="A129" s="223">
        <v>15</v>
      </c>
      <c r="B129" s="228">
        <v>15.5</v>
      </c>
      <c r="C129" s="223">
        <v>9</v>
      </c>
      <c r="D129" s="223" t="s">
        <v>179</v>
      </c>
    </row>
    <row r="130" spans="1:4" x14ac:dyDescent="0.25">
      <c r="A130" s="223">
        <v>15</v>
      </c>
      <c r="B130" s="228">
        <v>16.582999999999998</v>
      </c>
      <c r="C130" s="223">
        <v>4</v>
      </c>
      <c r="D130" s="223" t="s">
        <v>179</v>
      </c>
    </row>
    <row r="131" spans="1:4" x14ac:dyDescent="0.25">
      <c r="A131" s="223">
        <v>15</v>
      </c>
      <c r="B131" s="228">
        <v>2.6669999999999998</v>
      </c>
      <c r="C131" s="223">
        <v>3</v>
      </c>
      <c r="D131" s="223" t="s">
        <v>179</v>
      </c>
    </row>
    <row r="132" spans="1:4" x14ac:dyDescent="0.25">
      <c r="A132" s="223">
        <v>15</v>
      </c>
      <c r="B132" s="226">
        <v>0</v>
      </c>
      <c r="C132" s="223">
        <v>9</v>
      </c>
      <c r="D132" s="223" t="s">
        <v>179</v>
      </c>
    </row>
    <row r="133" spans="1:4" x14ac:dyDescent="0.25">
      <c r="A133" s="223">
        <v>15</v>
      </c>
      <c r="B133" s="226">
        <v>0</v>
      </c>
      <c r="C133" s="223">
        <v>9</v>
      </c>
      <c r="D133" s="223" t="s">
        <v>179</v>
      </c>
    </row>
    <row r="134" spans="1:4" x14ac:dyDescent="0.25">
      <c r="A134" s="223">
        <v>15</v>
      </c>
      <c r="B134" s="228">
        <v>17.417000000000002</v>
      </c>
      <c r="C134" s="223">
        <v>9</v>
      </c>
      <c r="D134" s="223" t="s">
        <v>179</v>
      </c>
    </row>
    <row r="135" spans="1:4" x14ac:dyDescent="0.25">
      <c r="A135" s="223">
        <v>15</v>
      </c>
      <c r="B135" s="228">
        <v>7.1669999999999998</v>
      </c>
      <c r="C135" s="223">
        <v>9</v>
      </c>
      <c r="D135" s="223" t="s">
        <v>179</v>
      </c>
    </row>
    <row r="136" spans="1:4" x14ac:dyDescent="0.25">
      <c r="A136" s="223">
        <v>15</v>
      </c>
      <c r="B136" s="228">
        <v>10.417</v>
      </c>
      <c r="C136" s="223">
        <v>9</v>
      </c>
      <c r="D136" s="223" t="s">
        <v>179</v>
      </c>
    </row>
    <row r="137" spans="1:4" x14ac:dyDescent="0.25">
      <c r="A137" s="223">
        <v>15</v>
      </c>
      <c r="B137" s="228">
        <v>8.9169999999999998</v>
      </c>
      <c r="C137" s="223">
        <v>9</v>
      </c>
      <c r="D137" s="223" t="s">
        <v>179</v>
      </c>
    </row>
    <row r="138" spans="1:4" x14ac:dyDescent="0.25">
      <c r="A138" s="223">
        <v>15</v>
      </c>
      <c r="B138" s="228">
        <v>1.6919999999999999</v>
      </c>
      <c r="C138" s="223">
        <v>12</v>
      </c>
      <c r="D138" s="223" t="s">
        <v>179</v>
      </c>
    </row>
    <row r="139" spans="1:4" x14ac:dyDescent="0.25">
      <c r="A139" s="223">
        <v>15</v>
      </c>
      <c r="B139" s="228">
        <v>1.6919999999999999</v>
      </c>
      <c r="C139" s="223">
        <v>12</v>
      </c>
      <c r="D139" s="223" t="s">
        <v>179</v>
      </c>
    </row>
    <row r="140" spans="1:4" x14ac:dyDescent="0.25">
      <c r="A140" s="223">
        <v>15</v>
      </c>
      <c r="B140" s="226">
        <v>0</v>
      </c>
      <c r="C140" s="223">
        <v>5</v>
      </c>
      <c r="D140" s="223" t="s">
        <v>179</v>
      </c>
    </row>
    <row r="141" spans="1:4" x14ac:dyDescent="0.25">
      <c r="A141" s="223">
        <v>15</v>
      </c>
      <c r="B141" s="228">
        <v>2.25</v>
      </c>
      <c r="C141" s="223">
        <v>9</v>
      </c>
      <c r="D141" s="223" t="s">
        <v>179</v>
      </c>
    </row>
    <row r="142" spans="1:4" x14ac:dyDescent="0.25">
      <c r="A142" s="223">
        <v>15</v>
      </c>
      <c r="B142" s="228">
        <v>8.75</v>
      </c>
      <c r="C142" s="223">
        <v>3</v>
      </c>
      <c r="D142" s="223" t="s">
        <v>179</v>
      </c>
    </row>
    <row r="143" spans="1:4" x14ac:dyDescent="0.25">
      <c r="A143" s="223">
        <v>15</v>
      </c>
      <c r="B143" s="226">
        <v>0</v>
      </c>
      <c r="C143" s="223">
        <v>8</v>
      </c>
      <c r="D143" s="223" t="s">
        <v>179</v>
      </c>
    </row>
    <row r="144" spans="1:4" x14ac:dyDescent="0.25">
      <c r="A144" s="223">
        <v>15</v>
      </c>
      <c r="B144" s="228">
        <v>8.7690000000000001</v>
      </c>
      <c r="C144" s="223">
        <v>9</v>
      </c>
      <c r="D144" s="223" t="s">
        <v>179</v>
      </c>
    </row>
    <row r="145" spans="1:4" x14ac:dyDescent="0.25">
      <c r="A145" s="223">
        <v>15</v>
      </c>
      <c r="B145" s="228">
        <v>2.75</v>
      </c>
      <c r="C145" s="223">
        <v>9</v>
      </c>
      <c r="D145" s="223" t="s">
        <v>179</v>
      </c>
    </row>
    <row r="146" spans="1:4" x14ac:dyDescent="0.25">
      <c r="A146" s="223">
        <v>15</v>
      </c>
      <c r="B146" s="228">
        <v>1.75</v>
      </c>
      <c r="C146" s="223">
        <v>9</v>
      </c>
      <c r="D146" s="223" t="s">
        <v>179</v>
      </c>
    </row>
    <row r="147" spans="1:4" x14ac:dyDescent="0.25">
      <c r="A147" s="223">
        <v>15</v>
      </c>
      <c r="B147" s="228">
        <v>10.833</v>
      </c>
      <c r="C147" s="223">
        <v>9</v>
      </c>
      <c r="D147" s="223" t="s">
        <v>179</v>
      </c>
    </row>
    <row r="148" spans="1:4" x14ac:dyDescent="0.25">
      <c r="A148" s="223">
        <v>15</v>
      </c>
      <c r="B148" s="228">
        <v>6.0830000000000002</v>
      </c>
      <c r="C148" s="223">
        <v>9</v>
      </c>
      <c r="D148" s="223" t="s">
        <v>179</v>
      </c>
    </row>
    <row r="149" spans="1:4" x14ac:dyDescent="0.25">
      <c r="A149" s="223">
        <v>15</v>
      </c>
      <c r="B149" s="228">
        <v>12.25</v>
      </c>
      <c r="C149" s="223">
        <v>9</v>
      </c>
      <c r="D149" s="223" t="s">
        <v>179</v>
      </c>
    </row>
    <row r="150" spans="1:4" x14ac:dyDescent="0.25">
      <c r="A150" s="223">
        <v>15</v>
      </c>
      <c r="B150" s="228">
        <v>20.832999999999998</v>
      </c>
      <c r="C150" s="223">
        <v>9</v>
      </c>
      <c r="D150" s="223" t="s">
        <v>179</v>
      </c>
    </row>
    <row r="151" spans="1:4" x14ac:dyDescent="0.25">
      <c r="A151" s="223">
        <v>15</v>
      </c>
      <c r="B151" s="228">
        <v>27.082999999999998</v>
      </c>
      <c r="C151" s="223">
        <v>9</v>
      </c>
      <c r="D151" s="223" t="s">
        <v>179</v>
      </c>
    </row>
    <row r="152" spans="1:4" x14ac:dyDescent="0.25">
      <c r="A152" s="223">
        <v>15</v>
      </c>
      <c r="B152" s="228">
        <v>17.5</v>
      </c>
      <c r="C152" s="223">
        <v>9</v>
      </c>
      <c r="D152" s="223" t="s">
        <v>179</v>
      </c>
    </row>
    <row r="153" spans="1:4" x14ac:dyDescent="0.25">
      <c r="A153" s="223">
        <v>15</v>
      </c>
      <c r="B153" s="228">
        <v>8.3000000000000004E-2</v>
      </c>
      <c r="C153" s="223">
        <v>12</v>
      </c>
      <c r="D153" s="223" t="s">
        <v>179</v>
      </c>
    </row>
    <row r="154" spans="1:4" x14ac:dyDescent="0.25">
      <c r="A154" s="223">
        <v>15</v>
      </c>
      <c r="B154" s="226">
        <v>12</v>
      </c>
      <c r="C154" s="223">
        <v>9</v>
      </c>
      <c r="D154" s="223" t="s">
        <v>179</v>
      </c>
    </row>
    <row r="155" spans="1:4" x14ac:dyDescent="0.25">
      <c r="A155" s="223">
        <v>15</v>
      </c>
      <c r="B155" s="228">
        <v>6.3330000000000002</v>
      </c>
      <c r="C155" s="223">
        <v>9</v>
      </c>
      <c r="D155" s="223" t="s">
        <v>179</v>
      </c>
    </row>
    <row r="156" spans="1:4" x14ac:dyDescent="0.25">
      <c r="A156" s="223">
        <v>15</v>
      </c>
      <c r="B156" s="228">
        <v>11.667</v>
      </c>
      <c r="C156" s="223">
        <v>9</v>
      </c>
      <c r="D156" s="223" t="s">
        <v>179</v>
      </c>
    </row>
    <row r="157" spans="1:4" x14ac:dyDescent="0.25">
      <c r="A157" s="223">
        <v>15</v>
      </c>
      <c r="B157" s="228">
        <v>9.5830000000000002</v>
      </c>
      <c r="C157" s="223">
        <v>9</v>
      </c>
      <c r="D157" s="223" t="s">
        <v>179</v>
      </c>
    </row>
    <row r="158" spans="1:4" x14ac:dyDescent="0.25">
      <c r="A158" s="223">
        <v>15</v>
      </c>
      <c r="B158" s="228">
        <v>4.25</v>
      </c>
      <c r="C158" s="223">
        <v>7</v>
      </c>
      <c r="D158" s="223" t="s">
        <v>179</v>
      </c>
    </row>
    <row r="159" spans="1:4" x14ac:dyDescent="0.25">
      <c r="A159" s="223">
        <v>15</v>
      </c>
      <c r="B159" s="228">
        <v>9.6669999999999998</v>
      </c>
      <c r="C159" s="223">
        <v>10</v>
      </c>
      <c r="D159" s="223" t="s">
        <v>179</v>
      </c>
    </row>
    <row r="160" spans="1:4" x14ac:dyDescent="0.25">
      <c r="A160" s="223">
        <v>15</v>
      </c>
      <c r="B160" s="228">
        <v>0.33300000000000002</v>
      </c>
      <c r="C160" s="223">
        <v>11</v>
      </c>
      <c r="D160" s="223" t="s">
        <v>179</v>
      </c>
    </row>
    <row r="161" spans="1:4" x14ac:dyDescent="0.25">
      <c r="A161" s="223">
        <v>15</v>
      </c>
      <c r="B161" s="228">
        <v>0.16700000000000001</v>
      </c>
      <c r="C161" s="223">
        <v>10</v>
      </c>
      <c r="D161" s="223" t="s">
        <v>179</v>
      </c>
    </row>
    <row r="162" spans="1:4" x14ac:dyDescent="0.25">
      <c r="A162" s="223">
        <v>15</v>
      </c>
      <c r="B162" s="228">
        <v>23.5</v>
      </c>
      <c r="C162" s="223">
        <v>8</v>
      </c>
      <c r="D162" s="223" t="s">
        <v>179</v>
      </c>
    </row>
    <row r="163" spans="1:4" x14ac:dyDescent="0.25">
      <c r="A163" s="223">
        <v>15</v>
      </c>
      <c r="B163" s="228">
        <v>8.4169999999999998</v>
      </c>
      <c r="C163" s="223">
        <v>11</v>
      </c>
      <c r="D163" s="223" t="s">
        <v>179</v>
      </c>
    </row>
    <row r="164" spans="1:4" x14ac:dyDescent="0.25">
      <c r="A164" s="223">
        <v>15</v>
      </c>
      <c r="B164" s="228">
        <v>15.714</v>
      </c>
      <c r="C164" s="223">
        <v>6</v>
      </c>
      <c r="D164" s="223" t="s">
        <v>179</v>
      </c>
    </row>
    <row r="165" spans="1:4" x14ac:dyDescent="0.25">
      <c r="A165" s="223">
        <v>15</v>
      </c>
      <c r="B165" s="226">
        <v>10</v>
      </c>
      <c r="C165" s="223">
        <v>11</v>
      </c>
      <c r="D165" s="223" t="s">
        <v>179</v>
      </c>
    </row>
    <row r="166" spans="1:4" x14ac:dyDescent="0.25">
      <c r="A166" s="223">
        <v>15</v>
      </c>
      <c r="B166" s="226">
        <v>0</v>
      </c>
      <c r="C166" s="223">
        <v>9</v>
      </c>
      <c r="D166" s="223" t="s">
        <v>179</v>
      </c>
    </row>
    <row r="167" spans="1:4" x14ac:dyDescent="0.25">
      <c r="A167" s="223">
        <v>15</v>
      </c>
      <c r="B167" s="228">
        <v>13.75</v>
      </c>
      <c r="C167" s="223">
        <v>8</v>
      </c>
      <c r="D167" s="223" t="s">
        <v>179</v>
      </c>
    </row>
    <row r="168" spans="1:4" x14ac:dyDescent="0.25">
      <c r="A168" s="223">
        <v>15</v>
      </c>
      <c r="B168" s="228">
        <v>13.417</v>
      </c>
      <c r="C168" s="223">
        <v>10</v>
      </c>
      <c r="D168" s="223" t="s">
        <v>179</v>
      </c>
    </row>
    <row r="169" spans="1:4" x14ac:dyDescent="0.25">
      <c r="A169" s="223">
        <v>15</v>
      </c>
      <c r="B169" s="228">
        <v>2.4169999999999998</v>
      </c>
      <c r="C169" s="223">
        <v>15</v>
      </c>
      <c r="D169" s="223" t="s">
        <v>179</v>
      </c>
    </row>
    <row r="170" spans="1:4" x14ac:dyDescent="0.25">
      <c r="A170" s="223">
        <v>15</v>
      </c>
      <c r="B170" s="228">
        <v>7.0999999999999994E-2</v>
      </c>
      <c r="C170" s="223">
        <v>30</v>
      </c>
      <c r="D170" s="223" t="s">
        <v>179</v>
      </c>
    </row>
    <row r="171" spans="1:4" x14ac:dyDescent="0.25">
      <c r="A171" s="223">
        <v>15</v>
      </c>
      <c r="B171" s="228">
        <v>1.75</v>
      </c>
      <c r="C171" s="223">
        <v>11</v>
      </c>
      <c r="D171" s="223" t="s">
        <v>179</v>
      </c>
    </row>
    <row r="172" spans="1:4" x14ac:dyDescent="0.25">
      <c r="A172" s="223">
        <v>15</v>
      </c>
      <c r="B172" s="226">
        <v>4</v>
      </c>
      <c r="C172" s="223">
        <v>6</v>
      </c>
      <c r="D172" s="223" t="s">
        <v>179</v>
      </c>
    </row>
    <row r="173" spans="1:4" x14ac:dyDescent="0.25">
      <c r="A173" s="223">
        <v>15</v>
      </c>
      <c r="B173" s="228">
        <v>0.64300000000000002</v>
      </c>
      <c r="C173" s="223">
        <v>6</v>
      </c>
      <c r="D173" s="223" t="s">
        <v>179</v>
      </c>
    </row>
    <row r="174" spans="1:4" x14ac:dyDescent="0.25">
      <c r="A174" s="223">
        <v>15</v>
      </c>
      <c r="B174" s="226">
        <v>0</v>
      </c>
      <c r="C174" s="223">
        <v>11</v>
      </c>
      <c r="D174" s="223" t="s">
        <v>179</v>
      </c>
    </row>
    <row r="175" spans="1:4" x14ac:dyDescent="0.25">
      <c r="A175" s="223">
        <v>15</v>
      </c>
      <c r="B175" s="228">
        <v>0.25</v>
      </c>
      <c r="C175" s="223">
        <v>8</v>
      </c>
      <c r="D175" s="223" t="s">
        <v>179</v>
      </c>
    </row>
    <row r="176" spans="1:4" x14ac:dyDescent="0.25">
      <c r="A176" s="223">
        <v>15</v>
      </c>
      <c r="B176" s="228">
        <v>3.6669999999999998</v>
      </c>
      <c r="C176" s="223">
        <v>6</v>
      </c>
      <c r="D176" s="223" t="s">
        <v>179</v>
      </c>
    </row>
    <row r="177" spans="1:4" x14ac:dyDescent="0.25">
      <c r="A177" s="223">
        <v>15</v>
      </c>
      <c r="B177" s="228">
        <v>10.167</v>
      </c>
      <c r="C177" s="223">
        <v>5</v>
      </c>
      <c r="D177" s="223" t="s">
        <v>179</v>
      </c>
    </row>
    <row r="178" spans="1:4" x14ac:dyDescent="0.25">
      <c r="A178" s="223">
        <v>15</v>
      </c>
      <c r="B178" s="228">
        <v>15.25</v>
      </c>
      <c r="C178" s="223">
        <v>8</v>
      </c>
      <c r="D178" s="223" t="s">
        <v>179</v>
      </c>
    </row>
    <row r="179" spans="1:4" x14ac:dyDescent="0.25">
      <c r="A179" s="223">
        <v>15</v>
      </c>
      <c r="B179" s="228">
        <v>1.167</v>
      </c>
      <c r="C179" s="223">
        <v>8</v>
      </c>
      <c r="D179" s="223" t="s">
        <v>179</v>
      </c>
    </row>
    <row r="180" spans="1:4" x14ac:dyDescent="0.25">
      <c r="A180" s="223">
        <v>15</v>
      </c>
      <c r="B180" s="228">
        <v>3.3330000000000002</v>
      </c>
      <c r="C180" s="223">
        <v>11</v>
      </c>
      <c r="D180" s="223" t="s">
        <v>179</v>
      </c>
    </row>
    <row r="181" spans="1:4" x14ac:dyDescent="0.25">
      <c r="A181" s="223">
        <v>15</v>
      </c>
      <c r="B181" s="228">
        <v>5.0830000000000002</v>
      </c>
      <c r="C181" s="223">
        <v>8</v>
      </c>
      <c r="D181" s="223" t="s">
        <v>179</v>
      </c>
    </row>
    <row r="182" spans="1:4" x14ac:dyDescent="0.25">
      <c r="A182" s="223">
        <v>15</v>
      </c>
      <c r="B182" s="226">
        <v>8</v>
      </c>
      <c r="C182" s="223">
        <v>11</v>
      </c>
      <c r="D182" s="223" t="s">
        <v>179</v>
      </c>
    </row>
    <row r="183" spans="1:4" x14ac:dyDescent="0.25">
      <c r="A183" s="223">
        <v>15</v>
      </c>
      <c r="B183" s="228">
        <v>2.5830000000000002</v>
      </c>
      <c r="C183" s="223">
        <v>6</v>
      </c>
      <c r="D183" s="223" t="s">
        <v>179</v>
      </c>
    </row>
    <row r="184" spans="1:4" x14ac:dyDescent="0.25">
      <c r="A184" s="223">
        <v>15</v>
      </c>
      <c r="B184" s="228">
        <v>4.1669999999999998</v>
      </c>
      <c r="C184" s="223">
        <v>11</v>
      </c>
      <c r="D184" s="223" t="s">
        <v>179</v>
      </c>
    </row>
    <row r="185" spans="1:4" x14ac:dyDescent="0.25">
      <c r="A185" s="223">
        <v>15</v>
      </c>
      <c r="B185" s="226">
        <v>0</v>
      </c>
      <c r="C185" s="223">
        <v>36</v>
      </c>
      <c r="D185" s="223" t="s">
        <v>179</v>
      </c>
    </row>
    <row r="186" spans="1:4" x14ac:dyDescent="0.25">
      <c r="A186" s="223">
        <v>15</v>
      </c>
      <c r="B186" s="228">
        <v>8.3000000000000004E-2</v>
      </c>
      <c r="C186" s="223">
        <v>9</v>
      </c>
      <c r="D186" s="223" t="s">
        <v>179</v>
      </c>
    </row>
    <row r="187" spans="1:4" x14ac:dyDescent="0.25">
      <c r="A187" s="223">
        <v>15</v>
      </c>
      <c r="B187" s="226">
        <v>6</v>
      </c>
      <c r="C187" s="223">
        <v>11</v>
      </c>
      <c r="D187" s="223" t="s">
        <v>179</v>
      </c>
    </row>
    <row r="188" spans="1:4" x14ac:dyDescent="0.25">
      <c r="A188" s="223">
        <v>15</v>
      </c>
      <c r="B188" s="226">
        <v>0</v>
      </c>
      <c r="C188" s="223">
        <v>7</v>
      </c>
      <c r="D188" s="223" t="s">
        <v>179</v>
      </c>
    </row>
    <row r="189" spans="1:4" x14ac:dyDescent="0.25">
      <c r="A189" s="223">
        <v>15</v>
      </c>
      <c r="B189" s="228">
        <v>6.9169999999999998</v>
      </c>
      <c r="C189" s="223">
        <v>8</v>
      </c>
      <c r="D189" s="223" t="s">
        <v>179</v>
      </c>
    </row>
    <row r="190" spans="1:4" x14ac:dyDescent="0.25">
      <c r="A190" s="223">
        <v>15</v>
      </c>
      <c r="B190" s="228">
        <v>9.5830000000000002</v>
      </c>
      <c r="C190" s="223">
        <v>11</v>
      </c>
      <c r="D190" s="223" t="s">
        <v>179</v>
      </c>
    </row>
    <row r="191" spans="1:4" x14ac:dyDescent="0.25">
      <c r="A191" s="223">
        <v>15</v>
      </c>
      <c r="B191" s="228">
        <v>7.4169999999999998</v>
      </c>
      <c r="C191" s="223">
        <v>11</v>
      </c>
      <c r="D191" s="223" t="s">
        <v>179</v>
      </c>
    </row>
    <row r="192" spans="1:4" x14ac:dyDescent="0.25">
      <c r="A192" s="223">
        <v>15</v>
      </c>
      <c r="B192" s="228">
        <v>7.25</v>
      </c>
      <c r="C192" s="223">
        <v>11</v>
      </c>
      <c r="D192" s="223" t="s">
        <v>179</v>
      </c>
    </row>
    <row r="193" spans="1:4" x14ac:dyDescent="0.25">
      <c r="A193" s="223">
        <v>15</v>
      </c>
      <c r="B193" s="228">
        <v>0.83299999999999996</v>
      </c>
      <c r="C193" s="223">
        <v>11</v>
      </c>
      <c r="D193" s="223" t="s">
        <v>179</v>
      </c>
    </row>
    <row r="194" spans="1:4" x14ac:dyDescent="0.25">
      <c r="A194" s="223">
        <v>15</v>
      </c>
      <c r="B194" s="226">
        <v>2</v>
      </c>
      <c r="C194" s="223">
        <v>11</v>
      </c>
      <c r="D194" s="223" t="s">
        <v>179</v>
      </c>
    </row>
    <row r="195" spans="1:4" x14ac:dyDescent="0.25">
      <c r="A195" s="223">
        <v>15</v>
      </c>
      <c r="B195" s="228">
        <v>1.917</v>
      </c>
      <c r="C195" s="223">
        <v>10</v>
      </c>
      <c r="D195" s="223" t="s">
        <v>179</v>
      </c>
    </row>
    <row r="196" spans="1:4" x14ac:dyDescent="0.25">
      <c r="A196" s="223">
        <v>15</v>
      </c>
      <c r="B196" s="228">
        <v>4.25</v>
      </c>
      <c r="C196" s="223">
        <v>11</v>
      </c>
      <c r="D196" s="223" t="s">
        <v>179</v>
      </c>
    </row>
    <row r="197" spans="1:4" x14ac:dyDescent="0.25">
      <c r="A197" s="223">
        <v>15</v>
      </c>
      <c r="B197" s="228">
        <v>1.667</v>
      </c>
      <c r="C197" s="223">
        <v>11</v>
      </c>
      <c r="D197" s="223" t="s">
        <v>179</v>
      </c>
    </row>
    <row r="198" spans="1:4" x14ac:dyDescent="0.25">
      <c r="A198" s="223">
        <v>15</v>
      </c>
      <c r="B198" s="228">
        <v>17.5</v>
      </c>
      <c r="C198" s="223">
        <v>11</v>
      </c>
      <c r="D198" s="223" t="s">
        <v>179</v>
      </c>
    </row>
    <row r="199" spans="1:4" x14ac:dyDescent="0.25">
      <c r="A199" s="223">
        <v>15</v>
      </c>
      <c r="B199" s="228">
        <v>8.0830000000000002</v>
      </c>
      <c r="C199" s="223">
        <v>11</v>
      </c>
      <c r="D199" s="223" t="s">
        <v>179</v>
      </c>
    </row>
    <row r="200" spans="1:4" x14ac:dyDescent="0.25">
      <c r="A200" s="223">
        <v>15</v>
      </c>
      <c r="B200" s="228">
        <v>9.5830000000000002</v>
      </c>
      <c r="C200" s="223">
        <v>11</v>
      </c>
      <c r="D200" s="223" t="s">
        <v>179</v>
      </c>
    </row>
    <row r="201" spans="1:4" x14ac:dyDescent="0.25">
      <c r="A201" s="223">
        <v>15</v>
      </c>
      <c r="B201" s="228">
        <v>0.66700000000000004</v>
      </c>
      <c r="C201" s="223">
        <v>8</v>
      </c>
      <c r="D201" s="223" t="s">
        <v>179</v>
      </c>
    </row>
    <row r="202" spans="1:4" x14ac:dyDescent="0.25">
      <c r="A202" s="223">
        <v>15</v>
      </c>
      <c r="B202" s="228">
        <v>5.3330000000000002</v>
      </c>
      <c r="C202" s="223">
        <v>11</v>
      </c>
      <c r="D202" s="223" t="s">
        <v>179</v>
      </c>
    </row>
    <row r="203" spans="1:4" x14ac:dyDescent="0.25">
      <c r="A203" s="223">
        <v>15</v>
      </c>
      <c r="B203" s="228">
        <v>1.917</v>
      </c>
      <c r="C203" s="223">
        <v>5</v>
      </c>
      <c r="D203" s="223" t="s">
        <v>179</v>
      </c>
    </row>
    <row r="204" spans="1:4" x14ac:dyDescent="0.25">
      <c r="A204" s="223">
        <v>15</v>
      </c>
      <c r="B204" s="228">
        <v>18.667000000000002</v>
      </c>
      <c r="C204" s="223">
        <v>11</v>
      </c>
      <c r="D204" s="223" t="s">
        <v>179</v>
      </c>
    </row>
    <row r="205" spans="1:4" x14ac:dyDescent="0.25">
      <c r="A205" s="223">
        <v>15</v>
      </c>
      <c r="B205" s="228">
        <v>10.917</v>
      </c>
      <c r="C205" s="223">
        <v>8</v>
      </c>
      <c r="D205" s="223" t="s">
        <v>179</v>
      </c>
    </row>
    <row r="206" spans="1:4" x14ac:dyDescent="0.25">
      <c r="A206" s="223">
        <v>15</v>
      </c>
      <c r="B206" s="228">
        <v>2.0830000000000002</v>
      </c>
      <c r="C206" s="223">
        <v>11</v>
      </c>
      <c r="D206" s="223" t="s">
        <v>179</v>
      </c>
    </row>
    <row r="207" spans="1:4" x14ac:dyDescent="0.25">
      <c r="A207" s="223">
        <v>15</v>
      </c>
      <c r="B207" s="228">
        <v>6.25</v>
      </c>
      <c r="C207" s="223">
        <v>8</v>
      </c>
      <c r="D207" s="223" t="s">
        <v>179</v>
      </c>
    </row>
    <row r="208" spans="1:4" x14ac:dyDescent="0.25">
      <c r="A208" s="223">
        <v>15</v>
      </c>
      <c r="B208" s="228">
        <v>1.167</v>
      </c>
      <c r="C208" s="223">
        <v>8</v>
      </c>
      <c r="D208" s="223" t="s">
        <v>179</v>
      </c>
    </row>
    <row r="209" spans="1:4" x14ac:dyDescent="0.25">
      <c r="A209" s="223">
        <v>15</v>
      </c>
      <c r="B209" s="228">
        <v>2.1669999999999998</v>
      </c>
      <c r="C209" s="223">
        <v>11</v>
      </c>
      <c r="D209" s="223" t="s">
        <v>179</v>
      </c>
    </row>
    <row r="210" spans="1:4" x14ac:dyDescent="0.25">
      <c r="A210" s="223">
        <v>15</v>
      </c>
      <c r="B210" s="228">
        <v>2.25</v>
      </c>
      <c r="C210" s="223">
        <v>7</v>
      </c>
      <c r="D210" s="223" t="s">
        <v>179</v>
      </c>
    </row>
    <row r="211" spans="1:4" x14ac:dyDescent="0.25">
      <c r="A211" s="223">
        <v>15</v>
      </c>
      <c r="B211" s="228">
        <v>5.0830000000000002</v>
      </c>
      <c r="C211" s="223">
        <v>8</v>
      </c>
      <c r="D211" s="223" t="s">
        <v>179</v>
      </c>
    </row>
    <row r="212" spans="1:4" x14ac:dyDescent="0.25">
      <c r="A212" s="223">
        <v>15</v>
      </c>
      <c r="B212" s="228">
        <v>5.0830000000000002</v>
      </c>
      <c r="C212" s="223">
        <v>9</v>
      </c>
      <c r="D212" s="223" t="s">
        <v>179</v>
      </c>
    </row>
    <row r="213" spans="1:4" x14ac:dyDescent="0.25">
      <c r="A213" s="223">
        <v>15</v>
      </c>
      <c r="B213" s="228">
        <v>11.75</v>
      </c>
      <c r="C213" s="223">
        <v>9</v>
      </c>
      <c r="D213" s="223" t="s">
        <v>179</v>
      </c>
    </row>
    <row r="214" spans="1:4" x14ac:dyDescent="0.25">
      <c r="A214" s="223">
        <v>15</v>
      </c>
      <c r="B214" s="226">
        <v>4</v>
      </c>
      <c r="C214" s="223">
        <v>9</v>
      </c>
      <c r="D214" s="223" t="s">
        <v>179</v>
      </c>
    </row>
    <row r="215" spans="1:4" x14ac:dyDescent="0.25">
      <c r="A215" s="223">
        <v>15</v>
      </c>
      <c r="B215" s="228">
        <v>7.4169999999999998</v>
      </c>
      <c r="C215" s="223">
        <v>8</v>
      </c>
      <c r="D215" s="223" t="s">
        <v>179</v>
      </c>
    </row>
    <row r="216" spans="1:4" x14ac:dyDescent="0.25">
      <c r="A216" s="223">
        <v>15</v>
      </c>
      <c r="B216" s="228">
        <v>0.83299999999999996</v>
      </c>
      <c r="C216" s="223">
        <v>11</v>
      </c>
      <c r="D216" s="223" t="s">
        <v>179</v>
      </c>
    </row>
    <row r="217" spans="1:4" x14ac:dyDescent="0.25">
      <c r="A217" s="223">
        <v>15</v>
      </c>
      <c r="B217" s="228">
        <v>12.167</v>
      </c>
      <c r="C217" s="223">
        <v>16</v>
      </c>
      <c r="D217" s="223" t="s">
        <v>179</v>
      </c>
    </row>
    <row r="218" spans="1:4" x14ac:dyDescent="0.25">
      <c r="A218" s="223">
        <v>15</v>
      </c>
      <c r="B218" s="228">
        <v>5.7</v>
      </c>
      <c r="C218" s="223">
        <v>14</v>
      </c>
      <c r="D218" s="223" t="s">
        <v>179</v>
      </c>
    </row>
    <row r="219" spans="1:4" x14ac:dyDescent="0.25">
      <c r="A219" s="223">
        <v>15</v>
      </c>
      <c r="B219" s="228">
        <v>0.83299999999999996</v>
      </c>
      <c r="C219" s="223">
        <v>11</v>
      </c>
      <c r="D219" s="223" t="s">
        <v>179</v>
      </c>
    </row>
    <row r="220" spans="1:4" x14ac:dyDescent="0.25">
      <c r="A220" s="223">
        <v>15</v>
      </c>
      <c r="B220" s="228">
        <v>6.4169999999999998</v>
      </c>
      <c r="C220" s="223">
        <v>11</v>
      </c>
      <c r="D220" s="223" t="s">
        <v>179</v>
      </c>
    </row>
    <row r="221" spans="1:4" x14ac:dyDescent="0.25">
      <c r="A221" s="223">
        <v>15</v>
      </c>
      <c r="B221" s="228">
        <v>11.5</v>
      </c>
      <c r="C221" s="223">
        <v>10</v>
      </c>
      <c r="D221" s="223" t="s">
        <v>179</v>
      </c>
    </row>
    <row r="222" spans="1:4" x14ac:dyDescent="0.25">
      <c r="A222" s="223">
        <v>15</v>
      </c>
      <c r="B222" s="228">
        <v>7.5830000000000002</v>
      </c>
      <c r="C222" s="223">
        <v>11</v>
      </c>
      <c r="D222" s="223" t="s">
        <v>179</v>
      </c>
    </row>
    <row r="223" spans="1:4" x14ac:dyDescent="0.25">
      <c r="A223" s="223">
        <v>15</v>
      </c>
      <c r="B223" s="226">
        <v>0</v>
      </c>
      <c r="C223" s="223">
        <v>11</v>
      </c>
      <c r="D223" s="223" t="s">
        <v>179</v>
      </c>
    </row>
    <row r="224" spans="1:4" x14ac:dyDescent="0.25">
      <c r="A224" s="223">
        <v>15</v>
      </c>
      <c r="B224" s="228">
        <v>7.6669999999999998</v>
      </c>
      <c r="C224" s="223">
        <v>11</v>
      </c>
      <c r="D224" s="223" t="s">
        <v>179</v>
      </c>
    </row>
    <row r="225" spans="1:4" x14ac:dyDescent="0.25">
      <c r="A225" s="223">
        <v>15</v>
      </c>
      <c r="B225" s="228">
        <v>10.417</v>
      </c>
      <c r="C225" s="223">
        <v>9</v>
      </c>
      <c r="D225" s="223" t="s">
        <v>179</v>
      </c>
    </row>
    <row r="226" spans="1:4" x14ac:dyDescent="0.25">
      <c r="A226" s="223">
        <v>15</v>
      </c>
      <c r="B226" s="228">
        <v>5.1669999999999998</v>
      </c>
      <c r="C226" s="223">
        <v>12</v>
      </c>
      <c r="D226" s="223" t="s">
        <v>179</v>
      </c>
    </row>
    <row r="227" spans="1:4" x14ac:dyDescent="0.25">
      <c r="A227" s="223">
        <v>15</v>
      </c>
      <c r="B227" s="228">
        <v>6.25</v>
      </c>
      <c r="C227" s="223">
        <v>11</v>
      </c>
      <c r="D227" s="223" t="s">
        <v>179</v>
      </c>
    </row>
    <row r="228" spans="1:4" x14ac:dyDescent="0.25">
      <c r="A228" s="223">
        <v>15</v>
      </c>
      <c r="B228" s="226">
        <v>0</v>
      </c>
      <c r="C228" s="223">
        <v>10</v>
      </c>
      <c r="D228" s="223" t="s">
        <v>179</v>
      </c>
    </row>
    <row r="229" spans="1:4" x14ac:dyDescent="0.25">
      <c r="A229" s="223">
        <v>15</v>
      </c>
      <c r="B229" s="228">
        <v>2.0830000000000002</v>
      </c>
      <c r="C229" s="223">
        <v>9</v>
      </c>
      <c r="D229" s="223" t="s">
        <v>179</v>
      </c>
    </row>
    <row r="230" spans="1:4" x14ac:dyDescent="0.25">
      <c r="A230" s="223">
        <v>15</v>
      </c>
      <c r="B230" s="228">
        <v>4.3330000000000002</v>
      </c>
      <c r="C230" s="223">
        <v>10</v>
      </c>
      <c r="D230" s="223" t="s">
        <v>179</v>
      </c>
    </row>
    <row r="231" spans="1:4" x14ac:dyDescent="0.25">
      <c r="A231" s="223">
        <v>15</v>
      </c>
      <c r="B231" s="228">
        <v>18.75</v>
      </c>
      <c r="C231" s="223">
        <v>9</v>
      </c>
      <c r="D231" s="223" t="s">
        <v>179</v>
      </c>
    </row>
    <row r="232" spans="1:4" x14ac:dyDescent="0.25">
      <c r="A232" s="223">
        <v>15</v>
      </c>
      <c r="B232" s="226">
        <v>4</v>
      </c>
      <c r="C232" s="223">
        <v>11</v>
      </c>
      <c r="D232" s="223" t="s">
        <v>179</v>
      </c>
    </row>
    <row r="233" spans="1:4" x14ac:dyDescent="0.25">
      <c r="A233" s="223">
        <v>15</v>
      </c>
      <c r="B233" s="228">
        <v>1.5</v>
      </c>
      <c r="C233" s="223">
        <v>10</v>
      </c>
      <c r="D233" s="223" t="s">
        <v>179</v>
      </c>
    </row>
    <row r="234" spans="1:4" x14ac:dyDescent="0.25">
      <c r="A234" s="223">
        <v>15</v>
      </c>
      <c r="B234" s="228">
        <v>21.417000000000002</v>
      </c>
      <c r="C234" s="223">
        <v>11</v>
      </c>
      <c r="D234" s="223" t="s">
        <v>179</v>
      </c>
    </row>
    <row r="235" spans="1:4" x14ac:dyDescent="0.25">
      <c r="A235" s="223">
        <v>15</v>
      </c>
      <c r="B235" s="228">
        <v>9.9169999999999998</v>
      </c>
      <c r="C235" s="223">
        <v>11</v>
      </c>
      <c r="D235" s="223" t="s">
        <v>179</v>
      </c>
    </row>
    <row r="236" spans="1:4" x14ac:dyDescent="0.25">
      <c r="A236" s="223">
        <v>15</v>
      </c>
      <c r="B236" s="228">
        <v>2.8330000000000002</v>
      </c>
      <c r="C236" s="223">
        <v>9</v>
      </c>
      <c r="D236" s="223" t="s">
        <v>179</v>
      </c>
    </row>
    <row r="237" spans="1:4" x14ac:dyDescent="0.25">
      <c r="A237" s="223">
        <v>15</v>
      </c>
      <c r="B237" s="228">
        <v>8.3000000000000004E-2</v>
      </c>
      <c r="C237" s="223">
        <v>7</v>
      </c>
      <c r="D237" s="223" t="s">
        <v>179</v>
      </c>
    </row>
    <row r="238" spans="1:4" x14ac:dyDescent="0.25">
      <c r="A238" s="223">
        <v>15</v>
      </c>
      <c r="B238" s="228">
        <v>1.417</v>
      </c>
      <c r="C238" s="223">
        <v>30</v>
      </c>
      <c r="D238" s="223" t="s">
        <v>179</v>
      </c>
    </row>
    <row r="239" spans="1:4" x14ac:dyDescent="0.25">
      <c r="A239" s="223">
        <v>15</v>
      </c>
      <c r="B239" s="228">
        <v>9.25</v>
      </c>
      <c r="C239" s="223">
        <v>11</v>
      </c>
      <c r="D239" s="223" t="s">
        <v>179</v>
      </c>
    </row>
    <row r="240" spans="1:4" x14ac:dyDescent="0.25">
      <c r="A240" s="223">
        <v>15</v>
      </c>
      <c r="B240" s="226">
        <v>2</v>
      </c>
      <c r="C240" s="223">
        <v>11</v>
      </c>
      <c r="D240" s="223" t="s">
        <v>179</v>
      </c>
    </row>
    <row r="241" spans="1:4" x14ac:dyDescent="0.25">
      <c r="A241" s="223">
        <v>15</v>
      </c>
      <c r="B241" s="228">
        <v>8.75</v>
      </c>
      <c r="C241" s="223">
        <v>11</v>
      </c>
      <c r="D241" s="223" t="s">
        <v>179</v>
      </c>
    </row>
    <row r="242" spans="1:4" x14ac:dyDescent="0.25">
      <c r="A242" s="223">
        <v>15</v>
      </c>
      <c r="B242" s="228">
        <v>6.25</v>
      </c>
      <c r="C242" s="223">
        <v>11</v>
      </c>
      <c r="D242" s="223" t="s">
        <v>179</v>
      </c>
    </row>
    <row r="243" spans="1:4" x14ac:dyDescent="0.25">
      <c r="A243" s="223">
        <v>15</v>
      </c>
      <c r="B243" s="228">
        <v>14.417</v>
      </c>
      <c r="C243" s="223">
        <v>11</v>
      </c>
      <c r="D243" s="223" t="s">
        <v>179</v>
      </c>
    </row>
    <row r="244" spans="1:4" x14ac:dyDescent="0.25">
      <c r="A244" s="223">
        <v>15</v>
      </c>
      <c r="B244" s="228">
        <v>5.5</v>
      </c>
      <c r="C244" s="223">
        <v>11</v>
      </c>
      <c r="D244" s="223" t="s">
        <v>179</v>
      </c>
    </row>
    <row r="245" spans="1:4" x14ac:dyDescent="0.25">
      <c r="A245" s="223">
        <v>15</v>
      </c>
      <c r="B245" s="228">
        <v>10.667</v>
      </c>
      <c r="C245" s="223">
        <v>6</v>
      </c>
      <c r="D245" s="223" t="s">
        <v>179</v>
      </c>
    </row>
    <row r="246" spans="1:4" x14ac:dyDescent="0.25">
      <c r="A246" s="223">
        <v>15</v>
      </c>
      <c r="B246" s="226">
        <v>7</v>
      </c>
      <c r="C246" s="223">
        <v>9</v>
      </c>
      <c r="D246" s="223" t="s">
        <v>179</v>
      </c>
    </row>
    <row r="247" spans="1:4" x14ac:dyDescent="0.25">
      <c r="A247" s="223">
        <v>15</v>
      </c>
      <c r="B247" s="228">
        <v>0.16700000000000001</v>
      </c>
      <c r="C247" s="223">
        <v>8</v>
      </c>
      <c r="D247" s="223" t="s">
        <v>179</v>
      </c>
    </row>
    <row r="248" spans="1:4" x14ac:dyDescent="0.25">
      <c r="A248" s="223">
        <v>15</v>
      </c>
      <c r="B248" s="228">
        <v>2.25</v>
      </c>
      <c r="C248" s="223">
        <v>10</v>
      </c>
      <c r="D248" s="223" t="s">
        <v>179</v>
      </c>
    </row>
    <row r="249" spans="1:4" x14ac:dyDescent="0.25">
      <c r="A249" s="223">
        <v>15</v>
      </c>
      <c r="B249" s="228">
        <v>6.1669999999999998</v>
      </c>
      <c r="C249" s="223">
        <v>8</v>
      </c>
      <c r="D249" s="223" t="s">
        <v>179</v>
      </c>
    </row>
    <row r="250" spans="1:4" x14ac:dyDescent="0.25">
      <c r="A250" s="223">
        <v>15</v>
      </c>
      <c r="B250" s="228">
        <v>8.6669999999999998</v>
      </c>
      <c r="C250" s="223">
        <v>11</v>
      </c>
      <c r="D250" s="223" t="s">
        <v>179</v>
      </c>
    </row>
    <row r="251" spans="1:4" x14ac:dyDescent="0.25">
      <c r="A251" s="223">
        <v>15</v>
      </c>
      <c r="B251" s="228">
        <v>12.917</v>
      </c>
      <c r="C251" s="223">
        <v>10</v>
      </c>
      <c r="D251" s="223" t="s">
        <v>179</v>
      </c>
    </row>
    <row r="252" spans="1:4" x14ac:dyDescent="0.25">
      <c r="A252" s="223">
        <v>15</v>
      </c>
      <c r="B252" s="226">
        <v>1</v>
      </c>
      <c r="C252" s="223">
        <v>9</v>
      </c>
      <c r="D252" s="223" t="s">
        <v>179</v>
      </c>
    </row>
    <row r="253" spans="1:4" x14ac:dyDescent="0.25">
      <c r="A253" s="223">
        <v>15</v>
      </c>
      <c r="B253" s="228">
        <v>12.5</v>
      </c>
      <c r="C253" s="223">
        <v>15</v>
      </c>
      <c r="D253" s="223" t="s">
        <v>179</v>
      </c>
    </row>
    <row r="254" spans="1:4" x14ac:dyDescent="0.25">
      <c r="A254" s="223">
        <v>15</v>
      </c>
      <c r="B254" s="226">
        <v>11</v>
      </c>
      <c r="C254" s="223">
        <v>11</v>
      </c>
      <c r="D254" s="223" t="s">
        <v>179</v>
      </c>
    </row>
    <row r="255" spans="1:4" x14ac:dyDescent="0.25">
      <c r="A255" s="223">
        <v>15</v>
      </c>
      <c r="B255" s="226">
        <v>0</v>
      </c>
      <c r="C255" s="223">
        <v>9</v>
      </c>
      <c r="D255" s="223" t="s">
        <v>179</v>
      </c>
    </row>
    <row r="256" spans="1:4" x14ac:dyDescent="0.25">
      <c r="A256" s="223">
        <v>15</v>
      </c>
      <c r="B256" s="228">
        <v>19.667000000000002</v>
      </c>
      <c r="C256" s="223">
        <v>6</v>
      </c>
      <c r="D256" s="223" t="s">
        <v>179</v>
      </c>
    </row>
    <row r="257" spans="1:4" x14ac:dyDescent="0.25">
      <c r="A257" s="223">
        <v>15</v>
      </c>
      <c r="B257" s="228">
        <v>1.417</v>
      </c>
      <c r="C257" s="223">
        <v>11</v>
      </c>
      <c r="D257" s="223" t="s">
        <v>179</v>
      </c>
    </row>
    <row r="258" spans="1:4" x14ac:dyDescent="0.25">
      <c r="A258" s="223">
        <v>15</v>
      </c>
      <c r="B258" s="228">
        <v>14.75</v>
      </c>
      <c r="C258" s="223">
        <v>11</v>
      </c>
      <c r="D258" s="223" t="s">
        <v>179</v>
      </c>
    </row>
    <row r="259" spans="1:4" x14ac:dyDescent="0.25">
      <c r="A259" s="223">
        <v>15</v>
      </c>
      <c r="B259" s="226">
        <v>0</v>
      </c>
      <c r="C259" s="223">
        <v>11</v>
      </c>
      <c r="D259" s="223" t="s">
        <v>179</v>
      </c>
    </row>
    <row r="260" spans="1:4" x14ac:dyDescent="0.25">
      <c r="A260" s="223">
        <v>15</v>
      </c>
      <c r="B260" s="228">
        <v>11.083</v>
      </c>
      <c r="C260" s="223">
        <v>9</v>
      </c>
      <c r="D260" s="223" t="s">
        <v>179</v>
      </c>
    </row>
    <row r="261" spans="1:4" x14ac:dyDescent="0.25">
      <c r="A261" s="223">
        <v>15</v>
      </c>
      <c r="B261" s="228">
        <v>24.75</v>
      </c>
      <c r="C261" s="223">
        <v>11</v>
      </c>
      <c r="D261" s="223" t="s">
        <v>179</v>
      </c>
    </row>
    <row r="262" spans="1:4" x14ac:dyDescent="0.25">
      <c r="A262" s="223">
        <v>15</v>
      </c>
      <c r="B262" s="228">
        <v>3.5</v>
      </c>
      <c r="C262" s="223">
        <v>11</v>
      </c>
      <c r="D262" s="223" t="s">
        <v>179</v>
      </c>
    </row>
    <row r="263" spans="1:4" x14ac:dyDescent="0.25">
      <c r="A263" s="223">
        <v>15</v>
      </c>
      <c r="B263" s="228">
        <v>8.0830000000000002</v>
      </c>
      <c r="C263" s="223">
        <v>11</v>
      </c>
      <c r="D263" s="223" t="s">
        <v>179</v>
      </c>
    </row>
    <row r="264" spans="1:4" x14ac:dyDescent="0.25">
      <c r="A264" s="223">
        <v>15</v>
      </c>
      <c r="B264" s="228">
        <v>3.1669999999999998</v>
      </c>
      <c r="C264" s="223">
        <v>11</v>
      </c>
      <c r="D264" s="223" t="s">
        <v>179</v>
      </c>
    </row>
    <row r="265" spans="1:4" x14ac:dyDescent="0.25">
      <c r="A265" s="223">
        <v>15</v>
      </c>
      <c r="B265" s="228">
        <v>5.8330000000000002</v>
      </c>
      <c r="C265" s="223">
        <v>11</v>
      </c>
      <c r="D265" s="223" t="s">
        <v>179</v>
      </c>
    </row>
    <row r="266" spans="1:4" x14ac:dyDescent="0.25">
      <c r="A266" s="223">
        <v>15</v>
      </c>
      <c r="B266" s="226">
        <v>15</v>
      </c>
      <c r="C266" s="223">
        <v>11</v>
      </c>
      <c r="D266" s="223" t="s">
        <v>179</v>
      </c>
    </row>
    <row r="267" spans="1:4" x14ac:dyDescent="0.25">
      <c r="A267" s="223">
        <v>15</v>
      </c>
      <c r="B267" s="228">
        <v>12.167</v>
      </c>
      <c r="C267" s="223">
        <v>11</v>
      </c>
      <c r="D267" s="223" t="s">
        <v>179</v>
      </c>
    </row>
    <row r="268" spans="1:4" x14ac:dyDescent="0.25">
      <c r="A268" s="223">
        <v>15</v>
      </c>
      <c r="B268" s="228">
        <v>6.8330000000000002</v>
      </c>
      <c r="C268" s="223">
        <v>10</v>
      </c>
      <c r="D268" s="223" t="s">
        <v>179</v>
      </c>
    </row>
    <row r="269" spans="1:4" x14ac:dyDescent="0.25">
      <c r="A269" s="223">
        <v>15</v>
      </c>
      <c r="B269" s="228">
        <v>8.4169999999999998</v>
      </c>
      <c r="C269" s="223">
        <v>9</v>
      </c>
      <c r="D269" s="223" t="s">
        <v>179</v>
      </c>
    </row>
    <row r="270" spans="1:4" x14ac:dyDescent="0.25">
      <c r="A270" s="223">
        <v>15</v>
      </c>
      <c r="B270" s="228">
        <v>6.1669999999999998</v>
      </c>
      <c r="C270" s="223">
        <v>4</v>
      </c>
      <c r="D270" s="223" t="s">
        <v>179</v>
      </c>
    </row>
    <row r="271" spans="1:4" x14ac:dyDescent="0.25">
      <c r="A271" s="223">
        <v>15</v>
      </c>
      <c r="B271" s="226">
        <v>12</v>
      </c>
      <c r="C271" s="223">
        <v>11</v>
      </c>
      <c r="D271" s="223" t="s">
        <v>179</v>
      </c>
    </row>
    <row r="272" spans="1:4" x14ac:dyDescent="0.25">
      <c r="A272" s="223">
        <v>15</v>
      </c>
      <c r="B272" s="228">
        <v>2.25</v>
      </c>
      <c r="C272" s="223">
        <v>11</v>
      </c>
      <c r="D272" s="223" t="s">
        <v>179</v>
      </c>
    </row>
    <row r="273" spans="1:4" x14ac:dyDescent="0.25">
      <c r="A273" s="223">
        <v>15</v>
      </c>
      <c r="B273" s="228">
        <v>7.8330000000000002</v>
      </c>
      <c r="C273" s="223">
        <v>4</v>
      </c>
      <c r="D273" s="223" t="s">
        <v>179</v>
      </c>
    </row>
    <row r="274" spans="1:4" x14ac:dyDescent="0.25">
      <c r="A274" s="223">
        <v>15</v>
      </c>
      <c r="B274" s="228">
        <v>4.75</v>
      </c>
      <c r="C274" s="223">
        <v>9</v>
      </c>
      <c r="D274" s="223" t="s">
        <v>179</v>
      </c>
    </row>
    <row r="275" spans="1:4" x14ac:dyDescent="0.25">
      <c r="A275" s="223">
        <v>15</v>
      </c>
      <c r="B275" s="228">
        <v>8.8330000000000002</v>
      </c>
      <c r="C275" s="223">
        <v>11</v>
      </c>
      <c r="D275" s="223" t="s">
        <v>179</v>
      </c>
    </row>
    <row r="276" spans="1:4" x14ac:dyDescent="0.25">
      <c r="A276" s="223">
        <v>15</v>
      </c>
      <c r="B276" s="228">
        <v>4.8330000000000002</v>
      </c>
      <c r="C276" s="223">
        <v>11</v>
      </c>
      <c r="D276" s="223" t="s">
        <v>179</v>
      </c>
    </row>
    <row r="277" spans="1:4" x14ac:dyDescent="0.25">
      <c r="A277" s="223">
        <v>15</v>
      </c>
      <c r="B277" s="228">
        <v>0.90900000000000003</v>
      </c>
      <c r="C277" s="223">
        <v>9</v>
      </c>
      <c r="D277" s="223" t="s">
        <v>179</v>
      </c>
    </row>
    <row r="278" spans="1:4" x14ac:dyDescent="0.25">
      <c r="A278" s="223">
        <v>15</v>
      </c>
      <c r="B278" s="228">
        <v>11.5</v>
      </c>
      <c r="C278" s="223">
        <v>9</v>
      </c>
      <c r="D278" s="223" t="s">
        <v>179</v>
      </c>
    </row>
    <row r="279" spans="1:4" x14ac:dyDescent="0.25">
      <c r="A279" s="223">
        <v>15</v>
      </c>
      <c r="B279" s="228">
        <v>7.3330000000000002</v>
      </c>
      <c r="C279" s="223">
        <v>10</v>
      </c>
      <c r="D279" s="223" t="s">
        <v>179</v>
      </c>
    </row>
    <row r="280" spans="1:4" x14ac:dyDescent="0.25">
      <c r="A280" s="223">
        <v>15</v>
      </c>
      <c r="B280" s="228">
        <v>4.0830000000000002</v>
      </c>
      <c r="C280" s="223">
        <v>9</v>
      </c>
      <c r="D280" s="223" t="s">
        <v>179</v>
      </c>
    </row>
    <row r="281" spans="1:4" x14ac:dyDescent="0.25">
      <c r="A281" s="223">
        <v>15</v>
      </c>
      <c r="B281" s="228">
        <v>7.5</v>
      </c>
      <c r="C281" s="223">
        <v>9</v>
      </c>
      <c r="D281" s="223" t="s">
        <v>179</v>
      </c>
    </row>
    <row r="282" spans="1:4" x14ac:dyDescent="0.25">
      <c r="A282" s="223">
        <v>15</v>
      </c>
      <c r="B282" s="228">
        <v>8.75</v>
      </c>
      <c r="C282" s="223">
        <v>8</v>
      </c>
      <c r="D282" s="223" t="s">
        <v>179</v>
      </c>
    </row>
    <row r="283" spans="1:4" x14ac:dyDescent="0.25">
      <c r="A283" s="223">
        <v>15</v>
      </c>
      <c r="B283" s="228">
        <v>6.6669999999999998</v>
      </c>
      <c r="C283" s="223">
        <v>10</v>
      </c>
      <c r="D283" s="223" t="s">
        <v>179</v>
      </c>
    </row>
    <row r="284" spans="1:4" x14ac:dyDescent="0.25">
      <c r="A284" s="223">
        <v>15</v>
      </c>
      <c r="B284" s="228">
        <v>26.082999999999998</v>
      </c>
      <c r="C284" s="223">
        <v>9</v>
      </c>
      <c r="D284" s="223" t="s">
        <v>179</v>
      </c>
    </row>
    <row r="285" spans="1:4" x14ac:dyDescent="0.25">
      <c r="A285" s="223">
        <v>15</v>
      </c>
      <c r="B285" s="228">
        <v>8.25</v>
      </c>
      <c r="C285" s="223">
        <v>10</v>
      </c>
      <c r="D285" s="223" t="s">
        <v>179</v>
      </c>
    </row>
    <row r="286" spans="1:4" x14ac:dyDescent="0.25">
      <c r="A286" s="223">
        <v>15</v>
      </c>
      <c r="B286" s="228">
        <v>10.583</v>
      </c>
      <c r="C286" s="223">
        <v>8</v>
      </c>
      <c r="D286" s="223" t="s">
        <v>179</v>
      </c>
    </row>
    <row r="287" spans="1:4" x14ac:dyDescent="0.25">
      <c r="A287" s="223">
        <v>15</v>
      </c>
      <c r="B287" s="228">
        <v>1.583</v>
      </c>
      <c r="C287" s="223">
        <v>10</v>
      </c>
      <c r="D287" s="223" t="s">
        <v>179</v>
      </c>
    </row>
    <row r="288" spans="1:4" x14ac:dyDescent="0.25">
      <c r="A288" s="223">
        <v>15</v>
      </c>
      <c r="B288" s="226">
        <v>0</v>
      </c>
      <c r="C288" s="223">
        <v>2</v>
      </c>
      <c r="D288" s="223" t="s">
        <v>179</v>
      </c>
    </row>
    <row r="289" spans="1:4" x14ac:dyDescent="0.25">
      <c r="A289" s="223">
        <v>15</v>
      </c>
      <c r="B289" s="228">
        <v>11.083</v>
      </c>
      <c r="C289" s="223">
        <v>13</v>
      </c>
      <c r="D289" s="223" t="s">
        <v>179</v>
      </c>
    </row>
    <row r="290" spans="1:4" x14ac:dyDescent="0.25">
      <c r="A290" s="223">
        <v>15</v>
      </c>
      <c r="B290" s="228">
        <v>5.3330000000000002</v>
      </c>
      <c r="C290" s="223">
        <v>9</v>
      </c>
      <c r="D290" s="223" t="s">
        <v>179</v>
      </c>
    </row>
    <row r="291" spans="1:4" x14ac:dyDescent="0.25">
      <c r="A291" s="223">
        <v>15</v>
      </c>
      <c r="B291" s="228">
        <v>4.8330000000000002</v>
      </c>
      <c r="C291" s="223">
        <v>10</v>
      </c>
      <c r="D291" s="223" t="s">
        <v>179</v>
      </c>
    </row>
    <row r="292" spans="1:4" x14ac:dyDescent="0.25">
      <c r="A292" s="223">
        <v>15</v>
      </c>
      <c r="B292" s="228">
        <v>0.91700000000000004</v>
      </c>
      <c r="C292" s="223">
        <v>10</v>
      </c>
      <c r="D292" s="223" t="s">
        <v>179</v>
      </c>
    </row>
    <row r="293" spans="1:4" x14ac:dyDescent="0.25">
      <c r="A293" s="223">
        <v>15</v>
      </c>
      <c r="B293" s="228">
        <v>0.41699999999999998</v>
      </c>
      <c r="C293" s="223">
        <v>10</v>
      </c>
      <c r="D293" s="223" t="s">
        <v>179</v>
      </c>
    </row>
    <row r="294" spans="1:4" x14ac:dyDescent="0.25">
      <c r="A294" s="223">
        <v>15</v>
      </c>
      <c r="B294" s="226">
        <v>14</v>
      </c>
      <c r="C294" s="223">
        <v>8</v>
      </c>
      <c r="D294" s="223" t="s">
        <v>179</v>
      </c>
    </row>
    <row r="295" spans="1:4" x14ac:dyDescent="0.25">
      <c r="A295" s="223">
        <v>15</v>
      </c>
      <c r="B295" s="228">
        <v>9.3330000000000002</v>
      </c>
      <c r="C295" s="223">
        <v>10</v>
      </c>
      <c r="D295" s="223" t="s">
        <v>179</v>
      </c>
    </row>
    <row r="296" spans="1:4" x14ac:dyDescent="0.25">
      <c r="A296" s="223">
        <v>15</v>
      </c>
      <c r="B296" s="228">
        <v>17.75</v>
      </c>
      <c r="C296" s="223">
        <v>8</v>
      </c>
      <c r="D296" s="223" t="s">
        <v>179</v>
      </c>
    </row>
    <row r="297" spans="1:4" x14ac:dyDescent="0.25">
      <c r="A297" s="223">
        <v>15</v>
      </c>
      <c r="B297" s="228">
        <v>4.0830000000000002</v>
      </c>
      <c r="C297" s="223">
        <v>10</v>
      </c>
      <c r="D297" s="223" t="s">
        <v>179</v>
      </c>
    </row>
    <row r="298" spans="1:4" x14ac:dyDescent="0.25">
      <c r="A298" s="223">
        <v>15</v>
      </c>
      <c r="B298" s="228">
        <v>6.4290000000000003</v>
      </c>
      <c r="C298" s="223">
        <v>10</v>
      </c>
      <c r="D298" s="223" t="s">
        <v>179</v>
      </c>
    </row>
    <row r="299" spans="1:4" x14ac:dyDescent="0.25">
      <c r="A299" s="223">
        <v>15</v>
      </c>
      <c r="B299" s="228">
        <v>4.4169999999999998</v>
      </c>
      <c r="C299" s="223">
        <v>10</v>
      </c>
      <c r="D299" s="223" t="s">
        <v>179</v>
      </c>
    </row>
    <row r="300" spans="1:4" x14ac:dyDescent="0.25">
      <c r="A300" s="223">
        <v>15</v>
      </c>
      <c r="B300" s="228">
        <v>0.66700000000000004</v>
      </c>
      <c r="C300" s="223">
        <v>18</v>
      </c>
      <c r="D300" s="223" t="s">
        <v>179</v>
      </c>
    </row>
    <row r="301" spans="1:4" x14ac:dyDescent="0.25">
      <c r="A301" s="223">
        <v>15</v>
      </c>
      <c r="B301" s="228">
        <v>32.167000000000002</v>
      </c>
      <c r="C301" s="223">
        <v>10</v>
      </c>
      <c r="D301" s="223" t="s">
        <v>179</v>
      </c>
    </row>
    <row r="302" spans="1:4" x14ac:dyDescent="0.25">
      <c r="A302" s="223">
        <v>15</v>
      </c>
      <c r="B302" s="228">
        <v>1.417</v>
      </c>
      <c r="C302" s="223">
        <v>10</v>
      </c>
      <c r="D302" s="223" t="s">
        <v>179</v>
      </c>
    </row>
    <row r="303" spans="1:4" x14ac:dyDescent="0.25">
      <c r="A303" s="223">
        <v>15</v>
      </c>
      <c r="B303" s="228">
        <v>3.8330000000000002</v>
      </c>
      <c r="C303" s="223">
        <v>10</v>
      </c>
      <c r="D303" s="223" t="s">
        <v>179</v>
      </c>
    </row>
    <row r="304" spans="1:4" x14ac:dyDescent="0.25">
      <c r="A304" s="223">
        <v>15</v>
      </c>
      <c r="B304" s="228">
        <v>15.5</v>
      </c>
      <c r="C304" s="223">
        <v>9</v>
      </c>
      <c r="D304" s="223" t="s">
        <v>179</v>
      </c>
    </row>
    <row r="305" spans="1:4" x14ac:dyDescent="0.25">
      <c r="A305" s="223">
        <v>15</v>
      </c>
      <c r="B305" s="226">
        <v>1</v>
      </c>
      <c r="C305" s="223">
        <v>7</v>
      </c>
      <c r="D305" s="223" t="s">
        <v>179</v>
      </c>
    </row>
    <row r="306" spans="1:4" x14ac:dyDescent="0.25">
      <c r="A306" s="223">
        <v>15</v>
      </c>
      <c r="B306" s="228">
        <v>2.1669999999999998</v>
      </c>
      <c r="C306" s="223">
        <v>10</v>
      </c>
      <c r="D306" s="223" t="s">
        <v>179</v>
      </c>
    </row>
    <row r="307" spans="1:4" x14ac:dyDescent="0.25">
      <c r="A307" s="223">
        <v>15</v>
      </c>
      <c r="B307" s="228">
        <v>27.832999999999998</v>
      </c>
      <c r="C307" s="223">
        <v>8</v>
      </c>
      <c r="D307" s="223" t="s">
        <v>179</v>
      </c>
    </row>
    <row r="308" spans="1:4" x14ac:dyDescent="0.25">
      <c r="A308" s="223">
        <v>15</v>
      </c>
      <c r="B308" s="228">
        <v>6.5</v>
      </c>
      <c r="C308" s="223">
        <v>10</v>
      </c>
      <c r="D308" s="223" t="s">
        <v>179</v>
      </c>
    </row>
    <row r="309" spans="1:4" x14ac:dyDescent="0.25">
      <c r="A309" s="223">
        <v>15</v>
      </c>
      <c r="B309" s="228">
        <v>14.167</v>
      </c>
      <c r="C309" s="223">
        <v>10</v>
      </c>
      <c r="D309" s="223" t="s">
        <v>179</v>
      </c>
    </row>
    <row r="310" spans="1:4" x14ac:dyDescent="0.25">
      <c r="A310" s="223">
        <v>15</v>
      </c>
      <c r="B310" s="228">
        <v>8.5830000000000002</v>
      </c>
      <c r="C310" s="223">
        <v>10</v>
      </c>
      <c r="D310" s="223" t="s">
        <v>179</v>
      </c>
    </row>
    <row r="311" spans="1:4" x14ac:dyDescent="0.25">
      <c r="A311" s="223">
        <v>15</v>
      </c>
      <c r="B311" s="228">
        <v>0.41699999999999998</v>
      </c>
      <c r="C311" s="223">
        <v>10</v>
      </c>
      <c r="D311" s="223" t="s">
        <v>179</v>
      </c>
    </row>
    <row r="312" spans="1:4" x14ac:dyDescent="0.25">
      <c r="A312" s="223">
        <v>15</v>
      </c>
      <c r="B312" s="228">
        <v>8.5830000000000002</v>
      </c>
      <c r="C312" s="223">
        <v>10</v>
      </c>
      <c r="D312" s="223" t="s">
        <v>179</v>
      </c>
    </row>
    <row r="313" spans="1:4" x14ac:dyDescent="0.25">
      <c r="A313" s="223">
        <v>15</v>
      </c>
      <c r="B313" s="228">
        <v>0.58299999999999996</v>
      </c>
      <c r="C313" s="223">
        <v>9</v>
      </c>
      <c r="D313" s="223" t="s">
        <v>179</v>
      </c>
    </row>
    <row r="314" spans="1:4" x14ac:dyDescent="0.25">
      <c r="A314" s="223">
        <v>15</v>
      </c>
      <c r="B314" s="226">
        <v>2</v>
      </c>
      <c r="C314" s="223">
        <v>9</v>
      </c>
      <c r="D314" s="223" t="s">
        <v>179</v>
      </c>
    </row>
    <row r="315" spans="1:4" x14ac:dyDescent="0.25">
      <c r="A315" s="223">
        <v>15</v>
      </c>
      <c r="B315" s="228">
        <v>4.3330000000000002</v>
      </c>
      <c r="C315" s="223">
        <v>10</v>
      </c>
      <c r="D315" s="223" t="s">
        <v>179</v>
      </c>
    </row>
    <row r="316" spans="1:4" x14ac:dyDescent="0.25">
      <c r="A316" s="223">
        <v>15</v>
      </c>
      <c r="B316" s="228">
        <v>4.5</v>
      </c>
      <c r="C316" s="223">
        <v>9</v>
      </c>
      <c r="D316" s="223" t="s">
        <v>179</v>
      </c>
    </row>
    <row r="317" spans="1:4" x14ac:dyDescent="0.25">
      <c r="A317" s="223">
        <v>15</v>
      </c>
      <c r="B317" s="228">
        <v>8.75</v>
      </c>
      <c r="C317" s="223">
        <v>10</v>
      </c>
      <c r="D317" s="223" t="s">
        <v>179</v>
      </c>
    </row>
    <row r="318" spans="1:4" x14ac:dyDescent="0.25">
      <c r="A318" s="223">
        <v>15</v>
      </c>
      <c r="B318" s="228">
        <v>4.1669999999999998</v>
      </c>
      <c r="C318" s="223">
        <v>13</v>
      </c>
      <c r="D318" s="223" t="s">
        <v>179</v>
      </c>
    </row>
    <row r="319" spans="1:4" x14ac:dyDescent="0.25">
      <c r="A319" s="223">
        <v>15</v>
      </c>
      <c r="B319" s="228">
        <v>1.5</v>
      </c>
      <c r="C319" s="223">
        <v>10</v>
      </c>
      <c r="D319" s="223" t="s">
        <v>179</v>
      </c>
    </row>
    <row r="320" spans="1:4" x14ac:dyDescent="0.25">
      <c r="A320" s="223">
        <v>15</v>
      </c>
      <c r="B320" s="228">
        <v>1.667</v>
      </c>
      <c r="C320" s="223">
        <v>10</v>
      </c>
      <c r="D320" s="223" t="s">
        <v>179</v>
      </c>
    </row>
    <row r="321" spans="1:4" x14ac:dyDescent="0.25">
      <c r="A321" s="223">
        <v>15</v>
      </c>
      <c r="B321" s="228">
        <v>1.583</v>
      </c>
      <c r="C321" s="223">
        <v>4</v>
      </c>
      <c r="D321" s="223" t="s">
        <v>179</v>
      </c>
    </row>
    <row r="322" spans="1:4" x14ac:dyDescent="0.25">
      <c r="A322" s="223">
        <v>15</v>
      </c>
      <c r="B322" s="228">
        <v>10.583</v>
      </c>
      <c r="C322" s="223">
        <v>10</v>
      </c>
      <c r="D322" s="223" t="s">
        <v>179</v>
      </c>
    </row>
    <row r="323" spans="1:4" x14ac:dyDescent="0.25">
      <c r="A323" s="223">
        <v>15</v>
      </c>
      <c r="B323" s="228">
        <v>0.41699999999999998</v>
      </c>
      <c r="C323" s="223">
        <v>10</v>
      </c>
      <c r="D323" s="223" t="s">
        <v>179</v>
      </c>
    </row>
    <row r="324" spans="1:4" x14ac:dyDescent="0.25">
      <c r="A324" s="223">
        <v>15</v>
      </c>
      <c r="B324" s="228">
        <v>5.5830000000000002</v>
      </c>
      <c r="C324" s="223">
        <v>10</v>
      </c>
      <c r="D324" s="223" t="s">
        <v>179</v>
      </c>
    </row>
    <row r="325" spans="1:4" x14ac:dyDescent="0.25">
      <c r="A325" s="223">
        <v>15</v>
      </c>
      <c r="B325" s="226">
        <v>3</v>
      </c>
      <c r="C325" s="223">
        <v>4</v>
      </c>
      <c r="D325" s="223" t="s">
        <v>179</v>
      </c>
    </row>
    <row r="326" spans="1:4" x14ac:dyDescent="0.25">
      <c r="A326" s="223">
        <v>15</v>
      </c>
      <c r="B326" s="228">
        <v>1.917</v>
      </c>
      <c r="C326" s="223">
        <v>10</v>
      </c>
      <c r="D326" s="223" t="s">
        <v>179</v>
      </c>
    </row>
    <row r="327" spans="1:4" x14ac:dyDescent="0.25">
      <c r="A327" s="223">
        <v>15</v>
      </c>
      <c r="B327" s="228">
        <v>0.5</v>
      </c>
      <c r="C327" s="223">
        <v>10</v>
      </c>
      <c r="D327" s="223" t="s">
        <v>179</v>
      </c>
    </row>
    <row r="328" spans="1:4" x14ac:dyDescent="0.25">
      <c r="A328" s="223">
        <v>15</v>
      </c>
      <c r="B328" s="228">
        <v>6.0910000000000002</v>
      </c>
      <c r="C328" s="223">
        <v>10</v>
      </c>
      <c r="D328" s="223" t="s">
        <v>179</v>
      </c>
    </row>
    <row r="329" spans="1:4" x14ac:dyDescent="0.25">
      <c r="A329" s="223">
        <v>15</v>
      </c>
      <c r="B329" s="226">
        <v>0</v>
      </c>
      <c r="C329" s="223">
        <v>10</v>
      </c>
      <c r="D329" s="223" t="s">
        <v>179</v>
      </c>
    </row>
    <row r="330" spans="1:4" x14ac:dyDescent="0.25">
      <c r="A330" s="223">
        <v>15</v>
      </c>
      <c r="B330" s="228">
        <v>1.167</v>
      </c>
      <c r="C330" s="223">
        <v>10</v>
      </c>
      <c r="D330" s="223" t="s">
        <v>179</v>
      </c>
    </row>
    <row r="331" spans="1:4" x14ac:dyDescent="0.25">
      <c r="A331" s="223">
        <v>15</v>
      </c>
      <c r="B331" s="228">
        <v>4.5830000000000002</v>
      </c>
      <c r="C331" s="223">
        <v>10</v>
      </c>
      <c r="D331" s="223" t="s">
        <v>179</v>
      </c>
    </row>
    <row r="332" spans="1:4" x14ac:dyDescent="0.25">
      <c r="A332" s="223">
        <v>15</v>
      </c>
      <c r="B332" s="228">
        <v>6.4169999999999998</v>
      </c>
      <c r="C332" s="223">
        <v>4</v>
      </c>
      <c r="D332" s="223" t="s">
        <v>179</v>
      </c>
    </row>
    <row r="333" spans="1:4" x14ac:dyDescent="0.25">
      <c r="A333" s="223">
        <v>15</v>
      </c>
      <c r="B333" s="226">
        <v>9</v>
      </c>
      <c r="C333" s="223">
        <v>10</v>
      </c>
      <c r="D333" s="223" t="s">
        <v>179</v>
      </c>
    </row>
    <row r="334" spans="1:4" x14ac:dyDescent="0.25">
      <c r="A334" s="223">
        <v>15</v>
      </c>
      <c r="B334" s="228">
        <v>0.33300000000000002</v>
      </c>
      <c r="C334" s="223">
        <v>8</v>
      </c>
      <c r="D334" s="223" t="s">
        <v>179</v>
      </c>
    </row>
    <row r="335" spans="1:4" x14ac:dyDescent="0.25">
      <c r="A335" s="223">
        <v>15</v>
      </c>
      <c r="B335" s="228">
        <v>0.25</v>
      </c>
      <c r="C335" s="223">
        <v>9</v>
      </c>
      <c r="D335" s="223" t="s">
        <v>179</v>
      </c>
    </row>
    <row r="336" spans="1:4" x14ac:dyDescent="0.25">
      <c r="A336" s="223">
        <v>15</v>
      </c>
      <c r="B336" s="226">
        <v>0</v>
      </c>
      <c r="C336" s="223">
        <v>10</v>
      </c>
      <c r="D336" s="223" t="s">
        <v>179</v>
      </c>
    </row>
    <row r="337" spans="1:4" x14ac:dyDescent="0.25">
      <c r="A337" s="223">
        <v>15</v>
      </c>
      <c r="B337" s="228">
        <v>6.1669999999999998</v>
      </c>
      <c r="C337" s="223">
        <v>8</v>
      </c>
      <c r="D337" s="223" t="s">
        <v>179</v>
      </c>
    </row>
    <row r="338" spans="1:4" x14ac:dyDescent="0.25">
      <c r="A338" s="223">
        <v>15</v>
      </c>
      <c r="B338" s="228">
        <v>3.5830000000000002</v>
      </c>
      <c r="C338" s="223">
        <v>9</v>
      </c>
      <c r="D338" s="223" t="s">
        <v>179</v>
      </c>
    </row>
    <row r="339" spans="1:4" x14ac:dyDescent="0.25">
      <c r="A339" s="223">
        <v>15</v>
      </c>
      <c r="B339" s="226">
        <v>2</v>
      </c>
      <c r="C339" s="223">
        <v>10</v>
      </c>
      <c r="D339" s="223" t="s">
        <v>179</v>
      </c>
    </row>
    <row r="340" spans="1:4" x14ac:dyDescent="0.25">
      <c r="A340" s="223">
        <v>15</v>
      </c>
      <c r="B340" s="228">
        <v>0.25</v>
      </c>
      <c r="C340" s="223">
        <v>5</v>
      </c>
      <c r="D340" s="223" t="s">
        <v>179</v>
      </c>
    </row>
    <row r="341" spans="1:4" x14ac:dyDescent="0.25">
      <c r="A341" s="223">
        <v>15</v>
      </c>
      <c r="B341" s="228">
        <v>10.167</v>
      </c>
      <c r="C341" s="223">
        <v>10</v>
      </c>
      <c r="D341" s="223" t="s">
        <v>179</v>
      </c>
    </row>
    <row r="342" spans="1:4" x14ac:dyDescent="0.25">
      <c r="A342" s="223">
        <v>15</v>
      </c>
      <c r="B342" s="228">
        <v>2.0830000000000002</v>
      </c>
      <c r="C342" s="223">
        <v>9</v>
      </c>
      <c r="D342" s="223" t="s">
        <v>179</v>
      </c>
    </row>
    <row r="343" spans="1:4" x14ac:dyDescent="0.25">
      <c r="A343" s="223">
        <v>15</v>
      </c>
      <c r="B343" s="228">
        <v>4.3330000000000002</v>
      </c>
      <c r="C343" s="223">
        <v>10</v>
      </c>
      <c r="D343" s="223" t="s">
        <v>179</v>
      </c>
    </row>
    <row r="344" spans="1:4" x14ac:dyDescent="0.25">
      <c r="A344" s="223">
        <v>15</v>
      </c>
      <c r="B344" s="228">
        <v>11.667</v>
      </c>
      <c r="C344" s="223">
        <v>11</v>
      </c>
      <c r="D344" s="223" t="s">
        <v>179</v>
      </c>
    </row>
    <row r="345" spans="1:4" x14ac:dyDescent="0.25">
      <c r="A345" s="223">
        <v>15</v>
      </c>
      <c r="B345" s="226">
        <v>0</v>
      </c>
      <c r="C345" s="223">
        <v>10</v>
      </c>
      <c r="D345" s="223" t="s">
        <v>179</v>
      </c>
    </row>
    <row r="346" spans="1:4" x14ac:dyDescent="0.25">
      <c r="A346" s="223">
        <v>15</v>
      </c>
      <c r="B346" s="228">
        <v>9.9169999999999998</v>
      </c>
      <c r="C346" s="223">
        <v>11</v>
      </c>
      <c r="D346" s="223" t="s">
        <v>179</v>
      </c>
    </row>
    <row r="347" spans="1:4" x14ac:dyDescent="0.25">
      <c r="A347" s="223">
        <v>15</v>
      </c>
      <c r="B347" s="228">
        <v>18.25</v>
      </c>
      <c r="C347" s="223">
        <v>9</v>
      </c>
      <c r="D347" s="223" t="s">
        <v>179</v>
      </c>
    </row>
    <row r="348" spans="1:4" x14ac:dyDescent="0.25">
      <c r="A348" s="223">
        <v>15</v>
      </c>
      <c r="B348" s="226">
        <v>0</v>
      </c>
      <c r="C348" s="223">
        <v>8</v>
      </c>
      <c r="D348" s="223" t="s">
        <v>179</v>
      </c>
    </row>
    <row r="349" spans="1:4" x14ac:dyDescent="0.25">
      <c r="A349" s="223">
        <v>15</v>
      </c>
      <c r="B349" s="228">
        <v>9.75</v>
      </c>
      <c r="C349" s="223">
        <v>9</v>
      </c>
      <c r="D349" s="223" t="s">
        <v>179</v>
      </c>
    </row>
    <row r="350" spans="1:4" x14ac:dyDescent="0.25">
      <c r="A350" s="223">
        <v>15</v>
      </c>
      <c r="B350" s="228">
        <v>12.5</v>
      </c>
      <c r="C350" s="223">
        <v>9</v>
      </c>
      <c r="D350" s="223" t="s">
        <v>179</v>
      </c>
    </row>
    <row r="351" spans="1:4" x14ac:dyDescent="0.25">
      <c r="A351" s="223">
        <v>15</v>
      </c>
      <c r="B351" s="228">
        <v>5.5830000000000002</v>
      </c>
      <c r="C351" s="223">
        <v>9</v>
      </c>
      <c r="D351" s="223" t="s">
        <v>179</v>
      </c>
    </row>
    <row r="352" spans="1:4" x14ac:dyDescent="0.25">
      <c r="A352" s="223">
        <v>15</v>
      </c>
      <c r="B352" s="228">
        <v>2.8330000000000002</v>
      </c>
      <c r="C352" s="223">
        <v>9</v>
      </c>
      <c r="D352" s="223" t="s">
        <v>179</v>
      </c>
    </row>
    <row r="353" spans="1:4" x14ac:dyDescent="0.25">
      <c r="A353" s="223">
        <v>15</v>
      </c>
      <c r="B353" s="228">
        <v>13.667</v>
      </c>
      <c r="C353" s="223">
        <v>8</v>
      </c>
      <c r="D353" s="223" t="s">
        <v>179</v>
      </c>
    </row>
    <row r="354" spans="1:4" x14ac:dyDescent="0.25">
      <c r="A354" s="223">
        <v>15</v>
      </c>
      <c r="B354" s="228">
        <v>12.5</v>
      </c>
      <c r="C354" s="223">
        <v>9</v>
      </c>
      <c r="D354" s="223" t="s">
        <v>179</v>
      </c>
    </row>
    <row r="355" spans="1:4" x14ac:dyDescent="0.25">
      <c r="A355" s="223">
        <v>15</v>
      </c>
      <c r="B355" s="228">
        <v>5.8330000000000002</v>
      </c>
      <c r="C355" s="223">
        <v>9</v>
      </c>
      <c r="D355" s="223" t="s">
        <v>179</v>
      </c>
    </row>
    <row r="356" spans="1:4" x14ac:dyDescent="0.25">
      <c r="A356" s="223">
        <v>15</v>
      </c>
      <c r="B356" s="228">
        <v>13.75</v>
      </c>
      <c r="C356" s="223">
        <v>8</v>
      </c>
      <c r="D356" s="223" t="s">
        <v>179</v>
      </c>
    </row>
    <row r="357" spans="1:4" x14ac:dyDescent="0.25">
      <c r="A357" s="223">
        <v>15</v>
      </c>
      <c r="B357" s="228">
        <v>15.25</v>
      </c>
      <c r="C357" s="223">
        <v>9</v>
      </c>
      <c r="D357" s="223" t="s">
        <v>179</v>
      </c>
    </row>
    <row r="358" spans="1:4" x14ac:dyDescent="0.25">
      <c r="A358" s="223">
        <v>15</v>
      </c>
      <c r="B358" s="228">
        <v>11.083</v>
      </c>
      <c r="C358" s="223">
        <v>9</v>
      </c>
      <c r="D358" s="223" t="s">
        <v>179</v>
      </c>
    </row>
    <row r="359" spans="1:4" x14ac:dyDescent="0.25">
      <c r="A359" s="223">
        <v>15</v>
      </c>
      <c r="B359" s="228">
        <v>12.75</v>
      </c>
      <c r="C359" s="223">
        <v>9</v>
      </c>
      <c r="D359" s="223" t="s">
        <v>179</v>
      </c>
    </row>
    <row r="360" spans="1:4" x14ac:dyDescent="0.25">
      <c r="A360" s="223">
        <v>15</v>
      </c>
      <c r="B360" s="226">
        <v>5</v>
      </c>
      <c r="C360" s="223">
        <v>11</v>
      </c>
      <c r="D360" s="223" t="s">
        <v>179</v>
      </c>
    </row>
    <row r="361" spans="1:4" x14ac:dyDescent="0.25">
      <c r="A361" s="223">
        <v>15</v>
      </c>
      <c r="B361" s="228">
        <v>22.332999999999998</v>
      </c>
      <c r="C361" s="223">
        <v>10</v>
      </c>
      <c r="D361" s="223" t="s">
        <v>179</v>
      </c>
    </row>
    <row r="362" spans="1:4" x14ac:dyDescent="0.25">
      <c r="A362" s="223">
        <v>15</v>
      </c>
      <c r="B362" s="228">
        <v>7.5</v>
      </c>
      <c r="C362" s="223">
        <v>10</v>
      </c>
      <c r="D362" s="223" t="s">
        <v>179</v>
      </c>
    </row>
    <row r="363" spans="1:4" x14ac:dyDescent="0.25">
      <c r="A363" s="223">
        <v>15</v>
      </c>
      <c r="B363" s="228">
        <v>0.25</v>
      </c>
      <c r="C363" s="223">
        <v>2</v>
      </c>
      <c r="D363" s="223" t="s">
        <v>179</v>
      </c>
    </row>
    <row r="364" spans="1:4" x14ac:dyDescent="0.25">
      <c r="A364" s="223">
        <v>15</v>
      </c>
      <c r="B364" s="228">
        <v>13.833</v>
      </c>
      <c r="C364" s="223">
        <v>9</v>
      </c>
      <c r="D364" s="223" t="s">
        <v>179</v>
      </c>
    </row>
    <row r="365" spans="1:4" x14ac:dyDescent="0.25">
      <c r="A365" s="223">
        <v>15</v>
      </c>
      <c r="B365" s="228">
        <v>6.9169999999999998</v>
      </c>
      <c r="C365" s="223">
        <v>9</v>
      </c>
      <c r="D365" s="223" t="s">
        <v>179</v>
      </c>
    </row>
    <row r="366" spans="1:4" x14ac:dyDescent="0.25">
      <c r="A366" s="223">
        <v>15</v>
      </c>
      <c r="B366" s="228">
        <v>2.4169999999999998</v>
      </c>
      <c r="C366" s="223">
        <v>9</v>
      </c>
      <c r="D366" s="223" t="s">
        <v>179</v>
      </c>
    </row>
    <row r="367" spans="1:4" x14ac:dyDescent="0.25">
      <c r="A367" s="223">
        <v>15</v>
      </c>
      <c r="B367" s="228">
        <v>2.3330000000000002</v>
      </c>
      <c r="C367" s="223">
        <v>10</v>
      </c>
      <c r="D367" s="223" t="s">
        <v>179</v>
      </c>
    </row>
    <row r="368" spans="1:4" x14ac:dyDescent="0.25">
      <c r="A368" s="223">
        <v>15</v>
      </c>
      <c r="B368" s="226">
        <v>0</v>
      </c>
      <c r="C368" s="223">
        <v>8</v>
      </c>
      <c r="D368" s="223" t="s">
        <v>179</v>
      </c>
    </row>
    <row r="369" spans="1:4" x14ac:dyDescent="0.25">
      <c r="A369" s="223">
        <v>15</v>
      </c>
      <c r="B369" s="228">
        <v>0.41699999999999998</v>
      </c>
      <c r="C369" s="223">
        <v>8</v>
      </c>
      <c r="D369" s="223" t="s">
        <v>179</v>
      </c>
    </row>
    <row r="370" spans="1:4" x14ac:dyDescent="0.25">
      <c r="A370" s="223">
        <v>15</v>
      </c>
      <c r="B370" s="228">
        <v>4.1429999999999998</v>
      </c>
      <c r="C370" s="223">
        <v>2</v>
      </c>
      <c r="D370" s="223" t="s">
        <v>179</v>
      </c>
    </row>
    <row r="371" spans="1:4" x14ac:dyDescent="0.25">
      <c r="A371" s="223">
        <v>15</v>
      </c>
      <c r="B371" s="226">
        <v>0</v>
      </c>
      <c r="C371" s="223">
        <v>8</v>
      </c>
      <c r="D371" s="223" t="s">
        <v>179</v>
      </c>
    </row>
    <row r="372" spans="1:4" x14ac:dyDescent="0.25">
      <c r="A372" s="223">
        <v>15</v>
      </c>
      <c r="B372" s="228">
        <v>21.917000000000002</v>
      </c>
      <c r="C372" s="223">
        <v>8</v>
      </c>
      <c r="D372" s="223" t="s">
        <v>179</v>
      </c>
    </row>
    <row r="373" spans="1:4" x14ac:dyDescent="0.25">
      <c r="A373" s="223">
        <v>15</v>
      </c>
      <c r="B373" s="228">
        <v>16.332999999999998</v>
      </c>
      <c r="C373" s="223">
        <v>8</v>
      </c>
      <c r="D373" s="223" t="s">
        <v>179</v>
      </c>
    </row>
    <row r="374" spans="1:4" x14ac:dyDescent="0.25">
      <c r="A374" s="223">
        <v>15</v>
      </c>
      <c r="B374" s="226">
        <v>0</v>
      </c>
      <c r="C374" s="223">
        <v>8</v>
      </c>
      <c r="D374" s="223" t="s">
        <v>179</v>
      </c>
    </row>
    <row r="375" spans="1:4" x14ac:dyDescent="0.25">
      <c r="A375" s="223">
        <v>15</v>
      </c>
      <c r="B375" s="228">
        <v>1.833</v>
      </c>
      <c r="C375" s="223">
        <v>8</v>
      </c>
      <c r="D375" s="223" t="s">
        <v>179</v>
      </c>
    </row>
    <row r="376" spans="1:4" x14ac:dyDescent="0.25">
      <c r="A376" s="223">
        <v>15</v>
      </c>
      <c r="B376" s="228">
        <v>21.25</v>
      </c>
      <c r="C376" s="223">
        <v>8</v>
      </c>
      <c r="D376" s="223" t="s">
        <v>179</v>
      </c>
    </row>
    <row r="377" spans="1:4" x14ac:dyDescent="0.25">
      <c r="A377" s="223">
        <v>15</v>
      </c>
      <c r="B377" s="228">
        <v>1.417</v>
      </c>
      <c r="C377" s="223">
        <v>8</v>
      </c>
      <c r="D377" s="223" t="s">
        <v>179</v>
      </c>
    </row>
    <row r="378" spans="1:4" x14ac:dyDescent="0.25">
      <c r="A378" s="223">
        <v>15</v>
      </c>
      <c r="B378" s="228">
        <v>8.3000000000000004E-2</v>
      </c>
      <c r="C378" s="223">
        <v>27</v>
      </c>
      <c r="D378" s="223" t="s">
        <v>179</v>
      </c>
    </row>
    <row r="379" spans="1:4" x14ac:dyDescent="0.25">
      <c r="A379" s="223">
        <v>15</v>
      </c>
      <c r="B379" s="226">
        <v>0</v>
      </c>
      <c r="C379" s="223">
        <v>8</v>
      </c>
      <c r="D379" s="223" t="s">
        <v>179</v>
      </c>
    </row>
    <row r="380" spans="1:4" x14ac:dyDescent="0.25">
      <c r="A380" s="223">
        <v>15</v>
      </c>
      <c r="B380" s="228">
        <v>7.4169999999999998</v>
      </c>
      <c r="C380" s="223">
        <v>8</v>
      </c>
      <c r="D380" s="223" t="s">
        <v>179</v>
      </c>
    </row>
    <row r="381" spans="1:4" x14ac:dyDescent="0.25">
      <c r="A381" s="223">
        <v>15</v>
      </c>
      <c r="B381" s="228">
        <v>11.583</v>
      </c>
      <c r="C381" s="223">
        <v>8</v>
      </c>
      <c r="D381" s="223" t="s">
        <v>179</v>
      </c>
    </row>
    <row r="382" spans="1:4" x14ac:dyDescent="0.25">
      <c r="A382" s="223">
        <v>15</v>
      </c>
      <c r="B382" s="228">
        <v>8.3330000000000002</v>
      </c>
      <c r="C382" s="223">
        <v>8</v>
      </c>
      <c r="D382" s="223" t="s">
        <v>179</v>
      </c>
    </row>
    <row r="383" spans="1:4" x14ac:dyDescent="0.25">
      <c r="A383" s="223">
        <v>15</v>
      </c>
      <c r="B383" s="228">
        <v>7.6150000000000002</v>
      </c>
      <c r="C383" s="223">
        <v>8</v>
      </c>
      <c r="D383" s="223" t="s">
        <v>179</v>
      </c>
    </row>
    <row r="384" spans="1:4" x14ac:dyDescent="0.25">
      <c r="A384" s="223">
        <v>15</v>
      </c>
      <c r="B384" s="228">
        <v>3.3330000000000002</v>
      </c>
      <c r="C384" s="223">
        <v>8</v>
      </c>
      <c r="D384" s="223" t="s">
        <v>179</v>
      </c>
    </row>
    <row r="385" spans="1:4" x14ac:dyDescent="0.25">
      <c r="A385" s="223">
        <v>15</v>
      </c>
      <c r="B385" s="228">
        <v>5.4169999999999998</v>
      </c>
      <c r="C385" s="223">
        <v>8</v>
      </c>
      <c r="D385" s="223" t="s">
        <v>179</v>
      </c>
    </row>
    <row r="386" spans="1:4" x14ac:dyDescent="0.25">
      <c r="A386" s="223">
        <v>15</v>
      </c>
      <c r="B386" s="228">
        <v>19.5</v>
      </c>
      <c r="C386" s="223">
        <v>8</v>
      </c>
      <c r="D386" s="223" t="s">
        <v>179</v>
      </c>
    </row>
    <row r="387" spans="1:4" x14ac:dyDescent="0.25">
      <c r="A387" s="223">
        <v>15</v>
      </c>
      <c r="B387" s="228">
        <v>22.082999999999998</v>
      </c>
      <c r="C387" s="223">
        <v>14</v>
      </c>
      <c r="D387" s="223" t="s">
        <v>179</v>
      </c>
    </row>
    <row r="388" spans="1:4" x14ac:dyDescent="0.25">
      <c r="A388" s="223">
        <v>15</v>
      </c>
      <c r="B388" s="228">
        <v>2.6669999999999998</v>
      </c>
      <c r="C388" s="223">
        <v>10</v>
      </c>
      <c r="D388" s="223" t="s">
        <v>179</v>
      </c>
    </row>
    <row r="389" spans="1:4" x14ac:dyDescent="0.25">
      <c r="A389" s="223">
        <v>15</v>
      </c>
      <c r="B389" s="228">
        <v>3.25</v>
      </c>
      <c r="C389" s="223">
        <v>9</v>
      </c>
      <c r="D389" s="223" t="s">
        <v>179</v>
      </c>
    </row>
    <row r="390" spans="1:4" x14ac:dyDescent="0.25">
      <c r="A390" s="223">
        <v>15</v>
      </c>
      <c r="B390" s="226">
        <v>0</v>
      </c>
      <c r="C390" s="223">
        <v>8</v>
      </c>
      <c r="D390" s="223" t="s">
        <v>179</v>
      </c>
    </row>
    <row r="391" spans="1:4" x14ac:dyDescent="0.25">
      <c r="A391" s="223">
        <v>15</v>
      </c>
      <c r="B391" s="228">
        <v>30.582999999999998</v>
      </c>
      <c r="C391" s="223">
        <v>8</v>
      </c>
      <c r="D391" s="223" t="s">
        <v>179</v>
      </c>
    </row>
    <row r="392" spans="1:4" x14ac:dyDescent="0.25">
      <c r="A392" s="223">
        <v>15</v>
      </c>
      <c r="B392" s="228">
        <v>36.308</v>
      </c>
      <c r="C392" s="223">
        <v>2</v>
      </c>
      <c r="D392" s="223" t="s">
        <v>179</v>
      </c>
    </row>
    <row r="393" spans="1:4" x14ac:dyDescent="0.25">
      <c r="A393" s="223">
        <v>15</v>
      </c>
      <c r="B393" s="228">
        <v>4.9169999999999998</v>
      </c>
      <c r="C393" s="223">
        <v>8</v>
      </c>
      <c r="D393" s="223" t="s">
        <v>179</v>
      </c>
    </row>
    <row r="394" spans="1:4" x14ac:dyDescent="0.25">
      <c r="A394" s="223">
        <v>15</v>
      </c>
      <c r="B394" s="228">
        <v>1.75</v>
      </c>
      <c r="C394" s="223">
        <v>8</v>
      </c>
      <c r="D394" s="223" t="s">
        <v>179</v>
      </c>
    </row>
    <row r="395" spans="1:4" x14ac:dyDescent="0.25">
      <c r="A395" s="223">
        <v>15</v>
      </c>
      <c r="B395" s="228">
        <v>8.1669999999999998</v>
      </c>
      <c r="C395" s="223">
        <v>8</v>
      </c>
      <c r="D395" s="223" t="s">
        <v>179</v>
      </c>
    </row>
    <row r="396" spans="1:4" x14ac:dyDescent="0.25">
      <c r="A396" s="223">
        <v>15</v>
      </c>
      <c r="B396" s="228">
        <v>1.25</v>
      </c>
      <c r="C396" s="223">
        <v>8</v>
      </c>
      <c r="D396" s="223" t="s">
        <v>179</v>
      </c>
    </row>
    <row r="397" spans="1:4" x14ac:dyDescent="0.25">
      <c r="A397" s="223">
        <v>15</v>
      </c>
      <c r="B397" s="228">
        <v>6.4169999999999998</v>
      </c>
      <c r="C397" s="223">
        <v>8</v>
      </c>
      <c r="D397" s="223" t="s">
        <v>179</v>
      </c>
    </row>
    <row r="398" spans="1:4" x14ac:dyDescent="0.25">
      <c r="A398" s="223">
        <v>15</v>
      </c>
      <c r="B398" s="228">
        <v>5.9169999999999998</v>
      </c>
      <c r="C398" s="223">
        <v>8</v>
      </c>
      <c r="D398" s="223" t="s">
        <v>179</v>
      </c>
    </row>
    <row r="399" spans="1:4" x14ac:dyDescent="0.25">
      <c r="A399" s="223">
        <v>15</v>
      </c>
      <c r="B399" s="228">
        <v>1.833</v>
      </c>
      <c r="C399" s="223">
        <v>8</v>
      </c>
      <c r="D399" s="223" t="s">
        <v>179</v>
      </c>
    </row>
    <row r="400" spans="1:4" x14ac:dyDescent="0.25">
      <c r="A400" s="223">
        <v>15</v>
      </c>
      <c r="B400" s="228">
        <v>3.1669999999999998</v>
      </c>
      <c r="C400" s="223">
        <v>8</v>
      </c>
      <c r="D400" s="223" t="s">
        <v>179</v>
      </c>
    </row>
    <row r="401" spans="1:4" x14ac:dyDescent="0.25">
      <c r="A401" s="223">
        <v>15</v>
      </c>
      <c r="B401" s="228">
        <v>4.25</v>
      </c>
      <c r="C401" s="223">
        <v>10</v>
      </c>
      <c r="D401" s="223" t="s">
        <v>179</v>
      </c>
    </row>
    <row r="402" spans="1:4" x14ac:dyDescent="0.25">
      <c r="A402" s="223">
        <v>15</v>
      </c>
      <c r="B402" s="228">
        <v>9.9169999999999998</v>
      </c>
      <c r="C402" s="223">
        <v>8</v>
      </c>
      <c r="D402" s="223" t="s">
        <v>179</v>
      </c>
    </row>
    <row r="403" spans="1:4" x14ac:dyDescent="0.25">
      <c r="A403" s="223">
        <v>15</v>
      </c>
      <c r="B403" s="228">
        <v>7.25</v>
      </c>
      <c r="C403" s="223">
        <v>8</v>
      </c>
      <c r="D403" s="223" t="s">
        <v>179</v>
      </c>
    </row>
    <row r="404" spans="1:4" x14ac:dyDescent="0.25">
      <c r="A404" s="223">
        <v>15</v>
      </c>
      <c r="B404" s="228">
        <v>12.167</v>
      </c>
      <c r="C404" s="223">
        <v>8</v>
      </c>
      <c r="D404" s="223" t="s">
        <v>179</v>
      </c>
    </row>
    <row r="405" spans="1:4" x14ac:dyDescent="0.25">
      <c r="A405" s="223">
        <v>15</v>
      </c>
      <c r="B405" s="228">
        <v>2.5830000000000002</v>
      </c>
      <c r="C405" s="223">
        <v>4</v>
      </c>
      <c r="D405" s="223" t="s">
        <v>179</v>
      </c>
    </row>
    <row r="406" spans="1:4" x14ac:dyDescent="0.25">
      <c r="A406" s="223">
        <v>15</v>
      </c>
      <c r="B406" s="228">
        <v>5.4169999999999998</v>
      </c>
      <c r="C406" s="223">
        <v>5</v>
      </c>
      <c r="D406" s="223" t="s">
        <v>179</v>
      </c>
    </row>
    <row r="407" spans="1:4" x14ac:dyDescent="0.25">
      <c r="A407" s="223">
        <v>15</v>
      </c>
      <c r="B407" s="228">
        <v>11.583</v>
      </c>
      <c r="C407" s="223">
        <v>8</v>
      </c>
      <c r="D407" s="223" t="s">
        <v>179</v>
      </c>
    </row>
    <row r="408" spans="1:4" x14ac:dyDescent="0.25">
      <c r="A408" s="223">
        <v>15</v>
      </c>
      <c r="B408" s="228">
        <v>9.9169999999999998</v>
      </c>
      <c r="C408" s="223">
        <v>8</v>
      </c>
      <c r="D408" s="223" t="s">
        <v>179</v>
      </c>
    </row>
    <row r="409" spans="1:4" x14ac:dyDescent="0.25">
      <c r="A409" s="223">
        <v>15</v>
      </c>
      <c r="B409" s="226">
        <v>3</v>
      </c>
      <c r="C409" s="223">
        <v>8</v>
      </c>
      <c r="D409" s="223" t="s">
        <v>179</v>
      </c>
    </row>
    <row r="410" spans="1:4" x14ac:dyDescent="0.25">
      <c r="A410" s="223">
        <v>15</v>
      </c>
      <c r="B410" s="228">
        <v>8.3000000000000004E-2</v>
      </c>
      <c r="C410" s="223">
        <v>8</v>
      </c>
      <c r="D410" s="223" t="s">
        <v>179</v>
      </c>
    </row>
    <row r="411" spans="1:4" x14ac:dyDescent="0.25">
      <c r="A411" s="223">
        <v>15</v>
      </c>
      <c r="B411" s="228">
        <v>5.0830000000000002</v>
      </c>
      <c r="C411" s="223">
        <v>10</v>
      </c>
      <c r="D411" s="223" t="s">
        <v>179</v>
      </c>
    </row>
    <row r="412" spans="1:4" x14ac:dyDescent="0.25">
      <c r="A412" s="223">
        <v>15</v>
      </c>
      <c r="B412" s="228">
        <v>0.58299999999999996</v>
      </c>
      <c r="C412" s="223">
        <v>8</v>
      </c>
      <c r="D412" s="223" t="s">
        <v>179</v>
      </c>
    </row>
    <row r="413" spans="1:4" x14ac:dyDescent="0.25">
      <c r="A413" s="223">
        <v>15</v>
      </c>
      <c r="B413" s="228">
        <v>8.3000000000000004E-2</v>
      </c>
      <c r="C413" s="223">
        <v>9</v>
      </c>
      <c r="D413" s="223" t="s">
        <v>179</v>
      </c>
    </row>
    <row r="414" spans="1:4" x14ac:dyDescent="0.25">
      <c r="A414" s="223">
        <v>15</v>
      </c>
      <c r="B414" s="228">
        <v>3.6669999999999998</v>
      </c>
      <c r="C414" s="223">
        <v>10</v>
      </c>
      <c r="D414" s="223" t="s">
        <v>179</v>
      </c>
    </row>
    <row r="415" spans="1:4" x14ac:dyDescent="0.25">
      <c r="A415" s="223">
        <v>15</v>
      </c>
      <c r="B415" s="228">
        <v>2.6669999999999998</v>
      </c>
      <c r="C415" s="223">
        <v>10</v>
      </c>
      <c r="D415" s="223" t="s">
        <v>179</v>
      </c>
    </row>
    <row r="416" spans="1:4" x14ac:dyDescent="0.25">
      <c r="A416" s="223">
        <v>15</v>
      </c>
      <c r="B416" s="228">
        <v>11.5</v>
      </c>
      <c r="C416" s="223">
        <v>7</v>
      </c>
      <c r="D416" s="223" t="s">
        <v>179</v>
      </c>
    </row>
    <row r="417" spans="1:4" x14ac:dyDescent="0.25">
      <c r="A417" s="223">
        <v>15</v>
      </c>
      <c r="B417" s="228">
        <v>17.5</v>
      </c>
      <c r="C417" s="223">
        <v>10</v>
      </c>
      <c r="D417" s="223" t="s">
        <v>179</v>
      </c>
    </row>
    <row r="418" spans="1:4" x14ac:dyDescent="0.25">
      <c r="A418" s="223">
        <v>15</v>
      </c>
      <c r="B418" s="226">
        <v>16</v>
      </c>
      <c r="C418" s="223">
        <v>7</v>
      </c>
      <c r="D418" s="223" t="s">
        <v>179</v>
      </c>
    </row>
    <row r="419" spans="1:4" x14ac:dyDescent="0.25">
      <c r="A419" s="223">
        <v>15</v>
      </c>
      <c r="B419" s="228">
        <v>26.417000000000002</v>
      </c>
      <c r="C419" s="223">
        <v>7</v>
      </c>
      <c r="D419" s="223" t="s">
        <v>179</v>
      </c>
    </row>
    <row r="420" spans="1:4" x14ac:dyDescent="0.25">
      <c r="A420" s="223">
        <v>15</v>
      </c>
      <c r="B420" s="228">
        <v>0.41699999999999998</v>
      </c>
      <c r="C420" s="223">
        <v>7</v>
      </c>
      <c r="D420" s="223" t="s">
        <v>179</v>
      </c>
    </row>
    <row r="421" spans="1:4" x14ac:dyDescent="0.25">
      <c r="A421" s="223">
        <v>15</v>
      </c>
      <c r="B421" s="226">
        <v>1</v>
      </c>
      <c r="C421" s="223">
        <v>7</v>
      </c>
      <c r="D421" s="223" t="s">
        <v>179</v>
      </c>
    </row>
    <row r="422" spans="1:4" x14ac:dyDescent="0.25">
      <c r="A422" s="223">
        <v>15</v>
      </c>
      <c r="B422" s="228">
        <v>10.083</v>
      </c>
      <c r="C422" s="223">
        <v>7</v>
      </c>
      <c r="D422" s="223" t="s">
        <v>179</v>
      </c>
    </row>
    <row r="423" spans="1:4" x14ac:dyDescent="0.25">
      <c r="A423" s="223">
        <v>15</v>
      </c>
      <c r="B423" s="228">
        <v>9.5830000000000002</v>
      </c>
      <c r="C423" s="223">
        <v>7</v>
      </c>
      <c r="D423" s="223" t="s">
        <v>179</v>
      </c>
    </row>
    <row r="424" spans="1:4" x14ac:dyDescent="0.25">
      <c r="A424" s="223">
        <v>15</v>
      </c>
      <c r="B424" s="228">
        <v>0.5</v>
      </c>
      <c r="C424" s="223">
        <v>7</v>
      </c>
      <c r="D424" s="223" t="s">
        <v>179</v>
      </c>
    </row>
    <row r="425" spans="1:4" x14ac:dyDescent="0.25">
      <c r="A425" s="223">
        <v>15</v>
      </c>
      <c r="B425" s="228">
        <v>8.9169999999999998</v>
      </c>
      <c r="C425" s="223">
        <v>10</v>
      </c>
      <c r="D425" s="223" t="s">
        <v>179</v>
      </c>
    </row>
    <row r="426" spans="1:4" x14ac:dyDescent="0.25">
      <c r="A426" s="223">
        <v>15</v>
      </c>
      <c r="B426" s="228">
        <v>2.25</v>
      </c>
      <c r="C426" s="223">
        <v>8</v>
      </c>
      <c r="D426" s="223" t="s">
        <v>179</v>
      </c>
    </row>
    <row r="427" spans="1:4" x14ac:dyDescent="0.25">
      <c r="A427" s="223">
        <v>15</v>
      </c>
      <c r="B427" s="228">
        <v>0.58299999999999996</v>
      </c>
      <c r="C427" s="223">
        <v>8</v>
      </c>
      <c r="D427" s="223" t="s">
        <v>179</v>
      </c>
    </row>
    <row r="428" spans="1:4" x14ac:dyDescent="0.25">
      <c r="A428" s="223">
        <v>15</v>
      </c>
      <c r="B428" s="228">
        <v>4.8330000000000002</v>
      </c>
      <c r="C428" s="223">
        <v>9</v>
      </c>
      <c r="D428" s="223" t="s">
        <v>179</v>
      </c>
    </row>
    <row r="429" spans="1:4" x14ac:dyDescent="0.25">
      <c r="A429" s="223">
        <v>15</v>
      </c>
      <c r="B429" s="228">
        <v>0.5</v>
      </c>
      <c r="C429" s="223">
        <v>8</v>
      </c>
      <c r="D429" s="223" t="s">
        <v>179</v>
      </c>
    </row>
    <row r="430" spans="1:4" x14ac:dyDescent="0.25">
      <c r="A430" s="223">
        <v>15</v>
      </c>
      <c r="B430" s="228">
        <v>8.5830000000000002</v>
      </c>
      <c r="C430" s="223">
        <v>9</v>
      </c>
      <c r="D430" s="223" t="s">
        <v>179</v>
      </c>
    </row>
    <row r="431" spans="1:4" x14ac:dyDescent="0.25">
      <c r="A431" s="223">
        <v>15</v>
      </c>
      <c r="B431" s="228">
        <v>5.5</v>
      </c>
      <c r="C431" s="223">
        <v>7</v>
      </c>
      <c r="D431" s="223" t="s">
        <v>179</v>
      </c>
    </row>
    <row r="432" spans="1:4" x14ac:dyDescent="0.25">
      <c r="A432" s="223">
        <v>15</v>
      </c>
      <c r="B432" s="228">
        <v>7.4169999999999998</v>
      </c>
      <c r="C432" s="223">
        <v>7</v>
      </c>
      <c r="D432" s="223" t="s">
        <v>179</v>
      </c>
    </row>
    <row r="433" spans="1:4" x14ac:dyDescent="0.25">
      <c r="A433" s="223">
        <v>15</v>
      </c>
      <c r="B433" s="228">
        <v>14.333</v>
      </c>
      <c r="C433" s="223">
        <v>9</v>
      </c>
      <c r="D433" s="223" t="s">
        <v>179</v>
      </c>
    </row>
    <row r="434" spans="1:4" x14ac:dyDescent="0.25">
      <c r="A434" s="223">
        <v>15</v>
      </c>
      <c r="B434" s="226">
        <v>16</v>
      </c>
      <c r="C434" s="223">
        <v>7</v>
      </c>
      <c r="D434" s="223" t="s">
        <v>179</v>
      </c>
    </row>
    <row r="435" spans="1:4" x14ac:dyDescent="0.25">
      <c r="A435" s="223">
        <v>15</v>
      </c>
      <c r="B435" s="228">
        <v>2.3330000000000002</v>
      </c>
      <c r="C435" s="223">
        <v>10</v>
      </c>
      <c r="D435" s="223" t="s">
        <v>179</v>
      </c>
    </row>
    <row r="436" spans="1:4" x14ac:dyDescent="0.25">
      <c r="A436" s="223">
        <v>15</v>
      </c>
      <c r="B436" s="228">
        <v>7.25</v>
      </c>
      <c r="C436" s="223">
        <v>9</v>
      </c>
      <c r="D436" s="223" t="s">
        <v>179</v>
      </c>
    </row>
    <row r="437" spans="1:4" x14ac:dyDescent="0.25">
      <c r="A437" s="223">
        <v>15</v>
      </c>
      <c r="B437" s="228">
        <v>5.5</v>
      </c>
      <c r="C437" s="223">
        <v>7</v>
      </c>
      <c r="D437" s="223" t="s">
        <v>179</v>
      </c>
    </row>
    <row r="438" spans="1:4" x14ac:dyDescent="0.25">
      <c r="A438" s="223">
        <v>15</v>
      </c>
      <c r="B438" s="228">
        <v>10.25</v>
      </c>
      <c r="C438" s="223">
        <v>8</v>
      </c>
      <c r="D438" s="223" t="s">
        <v>179</v>
      </c>
    </row>
    <row r="439" spans="1:4" x14ac:dyDescent="0.25">
      <c r="A439" s="223">
        <v>15</v>
      </c>
      <c r="B439" s="228">
        <v>2.75</v>
      </c>
      <c r="C439" s="223">
        <v>8</v>
      </c>
      <c r="D439" s="223" t="s">
        <v>179</v>
      </c>
    </row>
    <row r="440" spans="1:4" x14ac:dyDescent="0.25">
      <c r="A440" s="223">
        <v>15</v>
      </c>
      <c r="B440" s="228">
        <v>13.917</v>
      </c>
      <c r="C440" s="223">
        <v>7</v>
      </c>
      <c r="D440" s="223" t="s">
        <v>179</v>
      </c>
    </row>
    <row r="441" spans="1:4" x14ac:dyDescent="0.25">
      <c r="A441" s="223">
        <v>15</v>
      </c>
      <c r="B441" s="226">
        <v>6</v>
      </c>
      <c r="C441" s="223">
        <v>20</v>
      </c>
      <c r="D441" s="223" t="s">
        <v>179</v>
      </c>
    </row>
    <row r="442" spans="1:4" x14ac:dyDescent="0.25">
      <c r="A442" s="223">
        <v>15</v>
      </c>
      <c r="B442" s="228">
        <v>4.4169999999999998</v>
      </c>
      <c r="C442" s="223">
        <v>8</v>
      </c>
      <c r="D442" s="223" t="s">
        <v>179</v>
      </c>
    </row>
    <row r="443" spans="1:4" x14ac:dyDescent="0.25">
      <c r="A443" s="223">
        <v>15</v>
      </c>
      <c r="B443" s="228">
        <v>4.25</v>
      </c>
      <c r="C443" s="223">
        <v>7</v>
      </c>
      <c r="D443" s="223" t="s">
        <v>179</v>
      </c>
    </row>
    <row r="444" spans="1:4" x14ac:dyDescent="0.25">
      <c r="A444" s="223">
        <v>15</v>
      </c>
      <c r="B444" s="228">
        <v>2.9169999999999998</v>
      </c>
      <c r="C444" s="223">
        <v>11</v>
      </c>
      <c r="D444" s="223" t="s">
        <v>179</v>
      </c>
    </row>
    <row r="445" spans="1:4" x14ac:dyDescent="0.25">
      <c r="A445" s="223">
        <v>15</v>
      </c>
      <c r="B445" s="228">
        <v>3.8330000000000002</v>
      </c>
      <c r="C445" s="223">
        <v>8</v>
      </c>
      <c r="D445" s="223" t="s">
        <v>179</v>
      </c>
    </row>
    <row r="446" spans="1:4" x14ac:dyDescent="0.25">
      <c r="A446" s="223">
        <v>15</v>
      </c>
      <c r="B446" s="228">
        <v>1.75</v>
      </c>
      <c r="C446" s="223">
        <v>9</v>
      </c>
      <c r="D446" s="223" t="s">
        <v>179</v>
      </c>
    </row>
    <row r="447" spans="1:4" x14ac:dyDescent="0.25">
      <c r="A447" s="223">
        <v>15</v>
      </c>
      <c r="B447" s="228">
        <v>0.5</v>
      </c>
      <c r="C447" s="223">
        <v>8</v>
      </c>
      <c r="D447" s="223" t="s">
        <v>179</v>
      </c>
    </row>
    <row r="448" spans="1:4" x14ac:dyDescent="0.25">
      <c r="A448" s="223">
        <v>15</v>
      </c>
      <c r="B448" s="228">
        <v>5.0830000000000002</v>
      </c>
      <c r="C448" s="223">
        <v>17</v>
      </c>
      <c r="D448" s="223" t="s">
        <v>179</v>
      </c>
    </row>
    <row r="449" spans="1:4" x14ac:dyDescent="0.25">
      <c r="A449" s="223">
        <v>15</v>
      </c>
      <c r="B449" s="228">
        <v>8.25</v>
      </c>
      <c r="C449" s="223">
        <v>9</v>
      </c>
      <c r="D449" s="223" t="s">
        <v>179</v>
      </c>
    </row>
    <row r="450" spans="1:4" x14ac:dyDescent="0.25">
      <c r="A450" s="223">
        <v>15</v>
      </c>
      <c r="B450" s="228">
        <v>5.25</v>
      </c>
      <c r="C450" s="223">
        <v>9</v>
      </c>
      <c r="D450" s="223" t="s">
        <v>179</v>
      </c>
    </row>
    <row r="451" spans="1:4" x14ac:dyDescent="0.25">
      <c r="A451" s="223">
        <v>15</v>
      </c>
      <c r="B451" s="226">
        <v>0</v>
      </c>
      <c r="C451" s="223">
        <v>8</v>
      </c>
      <c r="D451" s="223" t="s">
        <v>179</v>
      </c>
    </row>
    <row r="452" spans="1:4" x14ac:dyDescent="0.25">
      <c r="A452" s="223">
        <v>15</v>
      </c>
      <c r="B452" s="228">
        <v>4.9169999999999998</v>
      </c>
      <c r="C452" s="223">
        <v>8</v>
      </c>
      <c r="D452" s="223" t="s">
        <v>179</v>
      </c>
    </row>
    <row r="453" spans="1:4" x14ac:dyDescent="0.25">
      <c r="A453" s="223">
        <v>15</v>
      </c>
      <c r="B453" s="228">
        <v>3.3330000000000002</v>
      </c>
      <c r="C453" s="223">
        <v>7</v>
      </c>
      <c r="D453" s="223" t="s">
        <v>179</v>
      </c>
    </row>
    <row r="454" spans="1:4" x14ac:dyDescent="0.25">
      <c r="A454" s="223">
        <v>15</v>
      </c>
      <c r="B454" s="228">
        <v>14.417</v>
      </c>
      <c r="C454" s="223">
        <v>9</v>
      </c>
      <c r="D454" s="223" t="s">
        <v>179</v>
      </c>
    </row>
    <row r="455" spans="1:4" x14ac:dyDescent="0.25">
      <c r="A455" s="223">
        <v>15</v>
      </c>
      <c r="B455" s="228">
        <v>5.5830000000000002</v>
      </c>
      <c r="C455" s="223">
        <v>3</v>
      </c>
      <c r="D455" s="223" t="s">
        <v>179</v>
      </c>
    </row>
    <row r="456" spans="1:4" x14ac:dyDescent="0.25">
      <c r="A456" s="223">
        <v>15</v>
      </c>
      <c r="B456" s="228">
        <v>4.5</v>
      </c>
      <c r="C456" s="223">
        <v>10</v>
      </c>
      <c r="D456" s="223" t="s">
        <v>179</v>
      </c>
    </row>
    <row r="457" spans="1:4" x14ac:dyDescent="0.25">
      <c r="A457" s="223">
        <v>15</v>
      </c>
      <c r="B457" s="228">
        <v>14.5</v>
      </c>
      <c r="C457" s="223">
        <v>8</v>
      </c>
      <c r="D457" s="223" t="s">
        <v>179</v>
      </c>
    </row>
    <row r="458" spans="1:4" x14ac:dyDescent="0.25">
      <c r="A458" s="223">
        <v>15</v>
      </c>
      <c r="B458" s="228">
        <v>9.5</v>
      </c>
      <c r="C458" s="223">
        <v>8</v>
      </c>
      <c r="D458" s="223" t="s">
        <v>179</v>
      </c>
    </row>
    <row r="459" spans="1:4" x14ac:dyDescent="0.25">
      <c r="A459" s="223">
        <v>15</v>
      </c>
      <c r="B459" s="228">
        <v>11.667</v>
      </c>
      <c r="C459" s="223">
        <v>8</v>
      </c>
      <c r="D459" s="223" t="s">
        <v>179</v>
      </c>
    </row>
    <row r="460" spans="1:4" x14ac:dyDescent="0.25">
      <c r="A460" s="223">
        <v>15</v>
      </c>
      <c r="B460" s="228">
        <v>6.4169999999999998</v>
      </c>
      <c r="C460" s="223">
        <v>9</v>
      </c>
      <c r="D460" s="223" t="s">
        <v>179</v>
      </c>
    </row>
    <row r="461" spans="1:4" x14ac:dyDescent="0.25">
      <c r="A461" s="223">
        <v>15</v>
      </c>
      <c r="B461" s="228">
        <v>6.3330000000000002</v>
      </c>
      <c r="C461" s="223">
        <v>12</v>
      </c>
      <c r="D461" s="223" t="s">
        <v>179</v>
      </c>
    </row>
    <row r="462" spans="1:4" x14ac:dyDescent="0.25">
      <c r="A462" s="223">
        <v>15</v>
      </c>
      <c r="B462" s="228">
        <v>11.75</v>
      </c>
      <c r="C462" s="223">
        <v>8</v>
      </c>
      <c r="D462" s="223" t="s">
        <v>179</v>
      </c>
    </row>
    <row r="463" spans="1:4" x14ac:dyDescent="0.25">
      <c r="A463" s="223">
        <v>15</v>
      </c>
      <c r="B463" s="228">
        <v>2.8330000000000002</v>
      </c>
      <c r="C463" s="223">
        <v>9</v>
      </c>
      <c r="D463" s="223" t="s">
        <v>179</v>
      </c>
    </row>
    <row r="464" spans="1:4" x14ac:dyDescent="0.25">
      <c r="A464" s="223">
        <v>15</v>
      </c>
      <c r="B464" s="228">
        <v>1.917</v>
      </c>
      <c r="C464" s="223">
        <v>15</v>
      </c>
      <c r="D464" s="223" t="s">
        <v>179</v>
      </c>
    </row>
    <row r="465" spans="1:4" x14ac:dyDescent="0.25">
      <c r="A465" s="223">
        <v>15</v>
      </c>
      <c r="B465" s="228">
        <v>2.1669999999999998</v>
      </c>
      <c r="C465" s="223">
        <v>9</v>
      </c>
      <c r="D465" s="223" t="s">
        <v>179</v>
      </c>
    </row>
    <row r="466" spans="1:4" x14ac:dyDescent="0.25">
      <c r="A466" s="223">
        <v>15</v>
      </c>
      <c r="B466" s="228">
        <v>3.1669999999999998</v>
      </c>
      <c r="C466" s="223">
        <v>15</v>
      </c>
      <c r="D466" s="223" t="s">
        <v>179</v>
      </c>
    </row>
    <row r="467" spans="1:4" x14ac:dyDescent="0.25">
      <c r="A467" s="223">
        <v>15</v>
      </c>
      <c r="B467" s="226">
        <v>0</v>
      </c>
      <c r="C467" s="223">
        <v>5</v>
      </c>
      <c r="D467" s="223" t="s">
        <v>179</v>
      </c>
    </row>
    <row r="468" spans="1:4" x14ac:dyDescent="0.25">
      <c r="A468" s="223">
        <v>15</v>
      </c>
      <c r="B468" s="228">
        <v>1.667</v>
      </c>
      <c r="C468" s="223">
        <v>8</v>
      </c>
      <c r="D468" s="223" t="s">
        <v>179</v>
      </c>
    </row>
    <row r="469" spans="1:4" x14ac:dyDescent="0.25">
      <c r="A469" s="223">
        <v>15</v>
      </c>
      <c r="B469" s="228">
        <v>6.9169999999999998</v>
      </c>
      <c r="C469" s="223">
        <v>9</v>
      </c>
      <c r="D469" s="223" t="s">
        <v>179</v>
      </c>
    </row>
    <row r="470" spans="1:4" x14ac:dyDescent="0.25">
      <c r="A470" s="223">
        <v>15</v>
      </c>
      <c r="B470" s="226">
        <v>17</v>
      </c>
      <c r="C470" s="223">
        <v>9</v>
      </c>
      <c r="D470" s="223" t="s">
        <v>179</v>
      </c>
    </row>
    <row r="471" spans="1:4" x14ac:dyDescent="0.25">
      <c r="A471" s="223">
        <v>15</v>
      </c>
      <c r="B471" s="228">
        <v>10.583</v>
      </c>
      <c r="C471" s="223">
        <v>9</v>
      </c>
      <c r="D471" s="223" t="s">
        <v>179</v>
      </c>
    </row>
    <row r="472" spans="1:4" x14ac:dyDescent="0.25">
      <c r="A472" s="223">
        <v>15</v>
      </c>
      <c r="B472" s="228">
        <v>6.4169999999999998</v>
      </c>
      <c r="C472" s="223">
        <v>8</v>
      </c>
      <c r="D472" s="223" t="s">
        <v>179</v>
      </c>
    </row>
    <row r="473" spans="1:4" x14ac:dyDescent="0.25">
      <c r="A473" s="223">
        <v>15</v>
      </c>
      <c r="B473" s="228">
        <v>9.5</v>
      </c>
      <c r="C473" s="223">
        <v>10</v>
      </c>
      <c r="D473" s="223" t="s">
        <v>179</v>
      </c>
    </row>
    <row r="474" spans="1:4" x14ac:dyDescent="0.25">
      <c r="A474" s="223">
        <v>15</v>
      </c>
      <c r="B474" s="228">
        <v>12.333</v>
      </c>
      <c r="C474" s="223">
        <v>9</v>
      </c>
      <c r="D474" s="223" t="s">
        <v>179</v>
      </c>
    </row>
    <row r="475" spans="1:4" x14ac:dyDescent="0.25">
      <c r="A475" s="223">
        <v>15</v>
      </c>
      <c r="B475" s="228">
        <v>2.25</v>
      </c>
      <c r="C475" s="223">
        <v>8</v>
      </c>
      <c r="D475" s="223" t="s">
        <v>179</v>
      </c>
    </row>
    <row r="476" spans="1:4" x14ac:dyDescent="0.25">
      <c r="A476" s="223">
        <v>15</v>
      </c>
      <c r="B476" s="228">
        <v>0.41699999999999998</v>
      </c>
      <c r="C476" s="223">
        <v>8</v>
      </c>
      <c r="D476" s="223" t="s">
        <v>179</v>
      </c>
    </row>
    <row r="477" spans="1:4" x14ac:dyDescent="0.25">
      <c r="A477" s="223">
        <v>15</v>
      </c>
      <c r="B477" s="228">
        <v>2.25</v>
      </c>
      <c r="C477" s="223">
        <v>9</v>
      </c>
      <c r="D477" s="223" t="s">
        <v>179</v>
      </c>
    </row>
    <row r="478" spans="1:4" x14ac:dyDescent="0.25">
      <c r="A478" s="223">
        <v>15</v>
      </c>
      <c r="B478" s="228">
        <v>0.41699999999999998</v>
      </c>
      <c r="C478" s="223">
        <v>5</v>
      </c>
      <c r="D478" s="223" t="s">
        <v>179</v>
      </c>
    </row>
    <row r="479" spans="1:4" x14ac:dyDescent="0.25">
      <c r="A479" s="223">
        <v>15</v>
      </c>
      <c r="B479" s="228">
        <v>5.5</v>
      </c>
      <c r="C479" s="223">
        <v>8</v>
      </c>
      <c r="D479" s="223" t="s">
        <v>179</v>
      </c>
    </row>
    <row r="480" spans="1:4" x14ac:dyDescent="0.25">
      <c r="A480" s="223">
        <v>15</v>
      </c>
      <c r="B480" s="228">
        <v>8.4169999999999998</v>
      </c>
      <c r="C480" s="223">
        <v>8</v>
      </c>
      <c r="D480" s="223" t="s">
        <v>179</v>
      </c>
    </row>
    <row r="481" spans="1:4" x14ac:dyDescent="0.25">
      <c r="A481" s="223">
        <v>15</v>
      </c>
      <c r="B481" s="228">
        <v>2.5</v>
      </c>
      <c r="C481" s="223">
        <v>3</v>
      </c>
      <c r="D481" s="223" t="s">
        <v>179</v>
      </c>
    </row>
    <row r="482" spans="1:4" x14ac:dyDescent="0.25">
      <c r="A482" s="223">
        <v>15</v>
      </c>
      <c r="B482" s="228">
        <v>36.667000000000002</v>
      </c>
      <c r="C482" s="223">
        <v>12</v>
      </c>
      <c r="D482" s="223" t="s">
        <v>179</v>
      </c>
    </row>
    <row r="483" spans="1:4" x14ac:dyDescent="0.25">
      <c r="A483" s="223">
        <v>15</v>
      </c>
      <c r="B483" s="228">
        <v>2.3330000000000002</v>
      </c>
      <c r="C483" s="223">
        <v>7</v>
      </c>
      <c r="D483" s="223" t="s">
        <v>179</v>
      </c>
    </row>
    <row r="484" spans="1:4" x14ac:dyDescent="0.25">
      <c r="A484" s="223">
        <v>15</v>
      </c>
      <c r="B484" s="228">
        <v>12.333</v>
      </c>
      <c r="C484" s="223">
        <v>7</v>
      </c>
      <c r="D484" s="223" t="s">
        <v>179</v>
      </c>
    </row>
    <row r="485" spans="1:4" x14ac:dyDescent="0.25">
      <c r="A485" s="223">
        <v>15</v>
      </c>
      <c r="B485" s="228">
        <v>20.5</v>
      </c>
      <c r="C485" s="223">
        <v>8</v>
      </c>
      <c r="D485" s="223" t="s">
        <v>179</v>
      </c>
    </row>
    <row r="486" spans="1:4" x14ac:dyDescent="0.25">
      <c r="A486" s="223">
        <v>15</v>
      </c>
      <c r="B486" s="228">
        <v>2.4169999999999998</v>
      </c>
      <c r="C486" s="223">
        <v>7</v>
      </c>
      <c r="D486" s="223" t="s">
        <v>179</v>
      </c>
    </row>
    <row r="487" spans="1:4" x14ac:dyDescent="0.25">
      <c r="A487" s="223">
        <v>15</v>
      </c>
      <c r="B487" s="226">
        <v>7</v>
      </c>
      <c r="C487" s="223">
        <v>12</v>
      </c>
      <c r="D487" s="223" t="s">
        <v>179</v>
      </c>
    </row>
    <row r="488" spans="1:4" x14ac:dyDescent="0.25">
      <c r="A488" s="223">
        <v>15</v>
      </c>
      <c r="B488" s="228">
        <v>10.833</v>
      </c>
      <c r="C488" s="223">
        <v>7</v>
      </c>
      <c r="D488" s="223" t="s">
        <v>179</v>
      </c>
    </row>
    <row r="489" spans="1:4" x14ac:dyDescent="0.25">
      <c r="A489" s="223">
        <v>15</v>
      </c>
      <c r="B489" s="228">
        <v>15.583</v>
      </c>
      <c r="C489" s="223">
        <v>7</v>
      </c>
      <c r="D489" s="223" t="s">
        <v>179</v>
      </c>
    </row>
    <row r="490" spans="1:4" x14ac:dyDescent="0.25">
      <c r="A490" s="223">
        <v>15</v>
      </c>
      <c r="B490" s="228">
        <v>3.75</v>
      </c>
      <c r="C490" s="223">
        <v>8</v>
      </c>
      <c r="D490" s="223" t="s">
        <v>179</v>
      </c>
    </row>
    <row r="491" spans="1:4" x14ac:dyDescent="0.25">
      <c r="A491" s="223">
        <v>15</v>
      </c>
      <c r="B491" s="226">
        <v>5</v>
      </c>
      <c r="C491" s="223">
        <v>7</v>
      </c>
      <c r="D491" s="223" t="s">
        <v>179</v>
      </c>
    </row>
    <row r="492" spans="1:4" x14ac:dyDescent="0.25">
      <c r="A492" s="223">
        <v>15</v>
      </c>
      <c r="B492" s="228">
        <v>3.6669999999999998</v>
      </c>
      <c r="C492" s="223">
        <v>7</v>
      </c>
      <c r="D492" s="223" t="s">
        <v>179</v>
      </c>
    </row>
    <row r="493" spans="1:4" x14ac:dyDescent="0.25">
      <c r="A493" s="223">
        <v>15</v>
      </c>
      <c r="B493" s="228">
        <v>4.3330000000000002</v>
      </c>
      <c r="C493" s="223">
        <v>7</v>
      </c>
      <c r="D493" s="223" t="s">
        <v>179</v>
      </c>
    </row>
    <row r="494" spans="1:4" x14ac:dyDescent="0.25">
      <c r="A494" s="223">
        <v>15</v>
      </c>
      <c r="B494" s="228">
        <v>2.25</v>
      </c>
      <c r="C494" s="223">
        <v>7</v>
      </c>
      <c r="D494" s="223" t="s">
        <v>179</v>
      </c>
    </row>
    <row r="495" spans="1:4" x14ac:dyDescent="0.25">
      <c r="A495" s="223">
        <v>15</v>
      </c>
      <c r="B495" s="228">
        <v>10.25</v>
      </c>
      <c r="C495" s="223">
        <v>9</v>
      </c>
      <c r="D495" s="223" t="s">
        <v>179</v>
      </c>
    </row>
    <row r="496" spans="1:4" x14ac:dyDescent="0.25">
      <c r="A496" s="223">
        <v>15</v>
      </c>
      <c r="B496" s="228">
        <v>3.25</v>
      </c>
      <c r="C496" s="223">
        <v>7</v>
      </c>
      <c r="D496" s="223" t="s">
        <v>179</v>
      </c>
    </row>
    <row r="497" spans="1:4" x14ac:dyDescent="0.25">
      <c r="A497" s="223">
        <v>15</v>
      </c>
      <c r="B497" s="228">
        <v>1.833</v>
      </c>
      <c r="C497" s="223">
        <v>7</v>
      </c>
      <c r="D497" s="223" t="s">
        <v>179</v>
      </c>
    </row>
    <row r="498" spans="1:4" x14ac:dyDescent="0.25">
      <c r="A498" s="223">
        <v>15</v>
      </c>
      <c r="B498" s="228">
        <v>6.0830000000000002</v>
      </c>
      <c r="C498" s="223">
        <v>7</v>
      </c>
      <c r="D498" s="223" t="s">
        <v>179</v>
      </c>
    </row>
    <row r="499" spans="1:4" x14ac:dyDescent="0.25">
      <c r="A499" s="223">
        <v>15</v>
      </c>
      <c r="B499" s="228">
        <v>4.5830000000000002</v>
      </c>
      <c r="C499" s="223">
        <v>5</v>
      </c>
      <c r="D499" s="223" t="s">
        <v>179</v>
      </c>
    </row>
    <row r="500" spans="1:4" x14ac:dyDescent="0.25">
      <c r="A500" s="223">
        <v>15</v>
      </c>
      <c r="B500" s="228">
        <v>1.583</v>
      </c>
      <c r="C500" s="223">
        <v>9</v>
      </c>
      <c r="D500" s="223" t="s">
        <v>179</v>
      </c>
    </row>
    <row r="501" spans="1:4" x14ac:dyDescent="0.25">
      <c r="A501" s="223">
        <v>15</v>
      </c>
      <c r="B501" s="226">
        <v>0</v>
      </c>
      <c r="C501" s="223">
        <v>6</v>
      </c>
      <c r="D501" s="223" t="s">
        <v>179</v>
      </c>
    </row>
    <row r="502" spans="1:4" x14ac:dyDescent="0.25">
      <c r="A502" s="223">
        <v>15</v>
      </c>
      <c r="B502" s="228">
        <v>5.1669999999999998</v>
      </c>
      <c r="C502" s="223">
        <v>7</v>
      </c>
      <c r="D502" s="223" t="s">
        <v>179</v>
      </c>
    </row>
    <row r="503" spans="1:4" x14ac:dyDescent="0.25">
      <c r="A503" s="223">
        <v>15</v>
      </c>
      <c r="B503" s="228">
        <v>8.25</v>
      </c>
      <c r="C503" s="223">
        <v>7</v>
      </c>
      <c r="D503" s="223" t="s">
        <v>179</v>
      </c>
    </row>
    <row r="504" spans="1:4" x14ac:dyDescent="0.25">
      <c r="A504" s="223">
        <v>15</v>
      </c>
      <c r="B504" s="228">
        <v>6.6669999999999998</v>
      </c>
      <c r="C504" s="223">
        <v>7</v>
      </c>
      <c r="D504" s="223" t="s">
        <v>179</v>
      </c>
    </row>
    <row r="505" spans="1:4" x14ac:dyDescent="0.25">
      <c r="A505" s="223">
        <v>15</v>
      </c>
      <c r="B505" s="228">
        <v>14.667</v>
      </c>
      <c r="C505" s="223">
        <v>5</v>
      </c>
      <c r="D505" s="223" t="s">
        <v>179</v>
      </c>
    </row>
    <row r="506" spans="1:4" x14ac:dyDescent="0.25">
      <c r="A506" s="223">
        <v>15</v>
      </c>
      <c r="B506" s="226">
        <v>2</v>
      </c>
      <c r="C506" s="223">
        <v>7</v>
      </c>
      <c r="D506" s="223" t="s">
        <v>179</v>
      </c>
    </row>
    <row r="507" spans="1:4" x14ac:dyDescent="0.25">
      <c r="A507" s="223">
        <v>15</v>
      </c>
      <c r="B507" s="228">
        <v>8.75</v>
      </c>
      <c r="C507" s="223">
        <v>7</v>
      </c>
      <c r="D507" s="223" t="s">
        <v>179</v>
      </c>
    </row>
    <row r="508" spans="1:4" x14ac:dyDescent="0.25">
      <c r="A508" s="223">
        <v>15</v>
      </c>
      <c r="B508" s="228">
        <v>5.4169999999999998</v>
      </c>
      <c r="C508" s="223">
        <v>8</v>
      </c>
      <c r="D508" s="223" t="s">
        <v>179</v>
      </c>
    </row>
    <row r="509" spans="1:4" x14ac:dyDescent="0.25">
      <c r="A509" s="223">
        <v>15</v>
      </c>
      <c r="B509" s="228">
        <v>4.75</v>
      </c>
      <c r="C509" s="223">
        <v>4</v>
      </c>
      <c r="D509" s="223" t="s">
        <v>179</v>
      </c>
    </row>
    <row r="510" spans="1:4" x14ac:dyDescent="0.25">
      <c r="A510" s="223">
        <v>15</v>
      </c>
      <c r="B510" s="228">
        <v>6.4169999999999998</v>
      </c>
      <c r="C510" s="223">
        <v>12</v>
      </c>
      <c r="D510" s="223" t="s">
        <v>179</v>
      </c>
    </row>
    <row r="511" spans="1:4" x14ac:dyDescent="0.25">
      <c r="A511" s="223">
        <v>15</v>
      </c>
      <c r="B511" s="228">
        <v>4.5830000000000002</v>
      </c>
      <c r="C511" s="223">
        <v>9</v>
      </c>
      <c r="D511" s="223" t="s">
        <v>179</v>
      </c>
    </row>
    <row r="512" spans="1:4" x14ac:dyDescent="0.25">
      <c r="A512" s="223">
        <v>15</v>
      </c>
      <c r="B512" s="228">
        <v>15.417</v>
      </c>
      <c r="C512" s="223">
        <v>8</v>
      </c>
      <c r="D512" s="223" t="s">
        <v>179</v>
      </c>
    </row>
    <row r="513" spans="1:4" x14ac:dyDescent="0.25">
      <c r="A513" s="223">
        <v>15</v>
      </c>
      <c r="B513" s="228">
        <v>18.917000000000002</v>
      </c>
      <c r="C513" s="223">
        <v>9</v>
      </c>
      <c r="D513" s="223" t="s">
        <v>179</v>
      </c>
    </row>
    <row r="514" spans="1:4" x14ac:dyDescent="0.25">
      <c r="A514" s="223">
        <v>15</v>
      </c>
      <c r="B514" s="228">
        <v>9.3330000000000002</v>
      </c>
      <c r="C514" s="223">
        <v>9</v>
      </c>
      <c r="D514" s="223" t="s">
        <v>179</v>
      </c>
    </row>
    <row r="515" spans="1:4" x14ac:dyDescent="0.25">
      <c r="A515" s="223">
        <v>15</v>
      </c>
      <c r="B515" s="228">
        <v>18.25</v>
      </c>
      <c r="C515" s="223">
        <v>9</v>
      </c>
      <c r="D515" s="223" t="s">
        <v>179</v>
      </c>
    </row>
    <row r="516" spans="1:4" x14ac:dyDescent="0.25">
      <c r="A516" s="223">
        <v>15</v>
      </c>
      <c r="B516" s="226">
        <v>0</v>
      </c>
      <c r="C516" s="223">
        <v>18</v>
      </c>
      <c r="D516" s="223" t="s">
        <v>179</v>
      </c>
    </row>
    <row r="517" spans="1:4" x14ac:dyDescent="0.25">
      <c r="A517" s="223">
        <v>15</v>
      </c>
      <c r="B517" s="228">
        <v>5.4169999999999998</v>
      </c>
      <c r="C517" s="223">
        <v>7</v>
      </c>
      <c r="D517" s="223" t="s">
        <v>179</v>
      </c>
    </row>
    <row r="518" spans="1:4" x14ac:dyDescent="0.25">
      <c r="A518" s="223">
        <v>15</v>
      </c>
      <c r="B518" s="228">
        <v>7.25</v>
      </c>
      <c r="C518" s="223">
        <v>9</v>
      </c>
      <c r="D518" s="223" t="s">
        <v>179</v>
      </c>
    </row>
    <row r="519" spans="1:4" x14ac:dyDescent="0.25">
      <c r="A519" s="223">
        <v>15</v>
      </c>
      <c r="B519" s="228">
        <v>7.6920000000000002</v>
      </c>
      <c r="C519" s="223">
        <v>10</v>
      </c>
      <c r="D519" s="223" t="s">
        <v>179</v>
      </c>
    </row>
    <row r="520" spans="1:4" x14ac:dyDescent="0.25">
      <c r="A520" s="223">
        <v>15</v>
      </c>
      <c r="B520" s="228">
        <v>8.3330000000000002</v>
      </c>
      <c r="C520" s="223">
        <v>10</v>
      </c>
      <c r="D520" s="223" t="s">
        <v>179</v>
      </c>
    </row>
    <row r="521" spans="1:4" x14ac:dyDescent="0.25">
      <c r="A521" s="223">
        <v>15</v>
      </c>
      <c r="B521" s="228">
        <v>4.5830000000000002</v>
      </c>
      <c r="C521" s="223">
        <v>7</v>
      </c>
      <c r="D521" s="223" t="s">
        <v>179</v>
      </c>
    </row>
    <row r="522" spans="1:4" x14ac:dyDescent="0.25">
      <c r="A522" s="223">
        <v>15</v>
      </c>
      <c r="B522" s="228">
        <v>1.667</v>
      </c>
      <c r="C522" s="223">
        <v>9</v>
      </c>
      <c r="D522" s="223" t="s">
        <v>179</v>
      </c>
    </row>
    <row r="523" spans="1:4" x14ac:dyDescent="0.25">
      <c r="A523" s="223">
        <v>15</v>
      </c>
      <c r="B523" s="228">
        <v>0.14299999999999999</v>
      </c>
      <c r="C523" s="223">
        <v>6</v>
      </c>
      <c r="D523" s="223" t="s">
        <v>179</v>
      </c>
    </row>
    <row r="524" spans="1:4" x14ac:dyDescent="0.25">
      <c r="A524" s="223">
        <v>15</v>
      </c>
      <c r="B524" s="228">
        <v>0.66700000000000004</v>
      </c>
      <c r="C524" s="223">
        <v>5</v>
      </c>
      <c r="D524" s="223" t="s">
        <v>179</v>
      </c>
    </row>
    <row r="525" spans="1:4" x14ac:dyDescent="0.25">
      <c r="A525" s="223">
        <v>15</v>
      </c>
      <c r="B525" s="226">
        <v>0</v>
      </c>
      <c r="C525" s="223">
        <v>9</v>
      </c>
      <c r="D525" s="223" t="s">
        <v>179</v>
      </c>
    </row>
    <row r="526" spans="1:4" x14ac:dyDescent="0.25">
      <c r="A526" s="223">
        <v>15</v>
      </c>
      <c r="B526" s="228">
        <v>10.071</v>
      </c>
      <c r="C526" s="223">
        <v>9</v>
      </c>
      <c r="D526" s="223" t="s">
        <v>179</v>
      </c>
    </row>
    <row r="527" spans="1:4" x14ac:dyDescent="0.25">
      <c r="A527" s="223">
        <v>15</v>
      </c>
      <c r="B527" s="228">
        <v>7.6669999999999998</v>
      </c>
      <c r="C527" s="223">
        <v>8</v>
      </c>
      <c r="D527" s="223" t="s">
        <v>179</v>
      </c>
    </row>
    <row r="528" spans="1:4" x14ac:dyDescent="0.25">
      <c r="A528" s="223">
        <v>15</v>
      </c>
      <c r="B528" s="228">
        <v>11.667</v>
      </c>
      <c r="C528" s="223">
        <v>19</v>
      </c>
      <c r="D528" s="223" t="s">
        <v>179</v>
      </c>
    </row>
    <row r="529" spans="1:4" x14ac:dyDescent="0.25">
      <c r="A529" s="223">
        <v>15</v>
      </c>
      <c r="B529" s="228">
        <v>3.0830000000000002</v>
      </c>
      <c r="C529" s="223">
        <v>9</v>
      </c>
      <c r="D529" s="223" t="s">
        <v>179</v>
      </c>
    </row>
    <row r="530" spans="1:4" x14ac:dyDescent="0.25">
      <c r="A530" s="223">
        <v>15</v>
      </c>
      <c r="B530" s="228">
        <v>22.167000000000002</v>
      </c>
      <c r="C530" s="223">
        <v>9</v>
      </c>
      <c r="D530" s="223" t="s">
        <v>179</v>
      </c>
    </row>
    <row r="531" spans="1:4" x14ac:dyDescent="0.25">
      <c r="A531" s="223">
        <v>15</v>
      </c>
      <c r="B531" s="226">
        <v>28</v>
      </c>
      <c r="C531" s="223">
        <v>8</v>
      </c>
      <c r="D531" s="223" t="s">
        <v>179</v>
      </c>
    </row>
    <row r="532" spans="1:4" x14ac:dyDescent="0.25">
      <c r="A532" s="223">
        <v>15</v>
      </c>
      <c r="B532" s="228">
        <v>5.9169999999999998</v>
      </c>
      <c r="C532" s="223">
        <v>8</v>
      </c>
      <c r="D532" s="223" t="s">
        <v>179</v>
      </c>
    </row>
    <row r="533" spans="1:4" x14ac:dyDescent="0.25">
      <c r="A533" s="223">
        <v>15</v>
      </c>
      <c r="B533" s="228">
        <v>2.6669999999999998</v>
      </c>
      <c r="C533" s="223">
        <v>9</v>
      </c>
      <c r="D533" s="223" t="s">
        <v>179</v>
      </c>
    </row>
    <row r="534" spans="1:4" x14ac:dyDescent="0.25">
      <c r="A534" s="223">
        <v>15</v>
      </c>
      <c r="B534" s="228">
        <v>0.92300000000000004</v>
      </c>
      <c r="C534" s="223">
        <v>3</v>
      </c>
      <c r="D534" s="223" t="s">
        <v>179</v>
      </c>
    </row>
    <row r="535" spans="1:4" x14ac:dyDescent="0.25">
      <c r="A535" s="223">
        <v>15</v>
      </c>
      <c r="B535" s="228">
        <v>10.583</v>
      </c>
      <c r="C535" s="223">
        <v>8</v>
      </c>
      <c r="D535" s="223" t="s">
        <v>179</v>
      </c>
    </row>
    <row r="536" spans="1:4" x14ac:dyDescent="0.25">
      <c r="A536" s="223">
        <v>15</v>
      </c>
      <c r="B536" s="228">
        <v>17.082999999999998</v>
      </c>
      <c r="C536" s="223">
        <v>9</v>
      </c>
      <c r="D536" s="223" t="s">
        <v>179</v>
      </c>
    </row>
    <row r="537" spans="1:4" x14ac:dyDescent="0.25">
      <c r="A537" s="223">
        <v>15</v>
      </c>
      <c r="B537" s="228">
        <v>17.667000000000002</v>
      </c>
      <c r="C537" s="223">
        <v>8</v>
      </c>
      <c r="D537" s="223" t="s">
        <v>179</v>
      </c>
    </row>
    <row r="538" spans="1:4" x14ac:dyDescent="0.25">
      <c r="A538" s="223">
        <v>15</v>
      </c>
      <c r="B538" s="228">
        <v>3.4</v>
      </c>
      <c r="C538" s="223">
        <v>2</v>
      </c>
      <c r="D538" s="223" t="s">
        <v>179</v>
      </c>
    </row>
    <row r="539" spans="1:4" x14ac:dyDescent="0.25">
      <c r="A539" s="223">
        <v>15</v>
      </c>
      <c r="B539" s="228">
        <v>32.832999999999998</v>
      </c>
      <c r="C539" s="223">
        <v>9</v>
      </c>
      <c r="D539" s="223" t="s">
        <v>179</v>
      </c>
    </row>
    <row r="540" spans="1:4" x14ac:dyDescent="0.25">
      <c r="A540" s="223">
        <v>15</v>
      </c>
      <c r="B540" s="228">
        <v>2.3079999999999998</v>
      </c>
      <c r="C540" s="223">
        <v>3</v>
      </c>
      <c r="D540" s="223" t="s">
        <v>179</v>
      </c>
    </row>
    <row r="541" spans="1:4" x14ac:dyDescent="0.25">
      <c r="A541" s="223">
        <v>15</v>
      </c>
      <c r="B541" s="228">
        <v>0.16700000000000001</v>
      </c>
      <c r="C541" s="223">
        <v>3</v>
      </c>
      <c r="D541" s="223" t="s">
        <v>179</v>
      </c>
    </row>
    <row r="542" spans="1:4" x14ac:dyDescent="0.25">
      <c r="A542" s="223">
        <v>15</v>
      </c>
      <c r="B542" s="228">
        <v>11.417</v>
      </c>
      <c r="C542" s="223">
        <v>3</v>
      </c>
      <c r="D542" s="223" t="s">
        <v>179</v>
      </c>
    </row>
    <row r="543" spans="1:4" x14ac:dyDescent="0.25">
      <c r="A543" s="223">
        <v>15</v>
      </c>
      <c r="B543" s="228">
        <v>9.5830000000000002</v>
      </c>
      <c r="C543" s="223">
        <v>3</v>
      </c>
      <c r="D543" s="223" t="s">
        <v>179</v>
      </c>
    </row>
    <row r="544" spans="1:4" x14ac:dyDescent="0.25">
      <c r="A544" s="223">
        <v>15</v>
      </c>
      <c r="B544" s="228">
        <v>3.214</v>
      </c>
      <c r="C544" s="223">
        <v>3</v>
      </c>
      <c r="D544" s="223" t="s">
        <v>179</v>
      </c>
    </row>
    <row r="545" spans="1:4" x14ac:dyDescent="0.25">
      <c r="A545" s="223">
        <v>15</v>
      </c>
      <c r="B545" s="226">
        <v>1</v>
      </c>
      <c r="C545" s="223">
        <v>3</v>
      </c>
      <c r="D545" s="223" t="s">
        <v>179</v>
      </c>
    </row>
    <row r="546" spans="1:4" x14ac:dyDescent="0.25">
      <c r="A546" s="223">
        <v>15</v>
      </c>
      <c r="B546" s="228">
        <v>0.5</v>
      </c>
      <c r="C546" s="223">
        <v>3</v>
      </c>
      <c r="D546" s="223" t="s">
        <v>179</v>
      </c>
    </row>
    <row r="547" spans="1:4" x14ac:dyDescent="0.25">
      <c r="A547" s="223">
        <v>15</v>
      </c>
      <c r="B547" s="226">
        <v>3</v>
      </c>
      <c r="C547" s="223">
        <v>3</v>
      </c>
      <c r="D547" s="223" t="s">
        <v>179</v>
      </c>
    </row>
    <row r="548" spans="1:4" x14ac:dyDescent="0.25">
      <c r="A548" s="223">
        <v>15</v>
      </c>
      <c r="B548" s="226">
        <v>3</v>
      </c>
      <c r="C548" s="223">
        <v>3</v>
      </c>
      <c r="D548" s="223" t="s">
        <v>179</v>
      </c>
    </row>
    <row r="549" spans="1:4" x14ac:dyDescent="0.25">
      <c r="A549" s="223">
        <v>15</v>
      </c>
      <c r="B549" s="228">
        <v>17.582999999999998</v>
      </c>
      <c r="C549" s="223">
        <v>8</v>
      </c>
      <c r="D549" s="223" t="s">
        <v>179</v>
      </c>
    </row>
    <row r="550" spans="1:4" x14ac:dyDescent="0.25">
      <c r="A550" s="223">
        <v>15</v>
      </c>
      <c r="B550" s="228">
        <v>8.0830000000000002</v>
      </c>
      <c r="C550" s="223">
        <v>8</v>
      </c>
      <c r="D550" s="223" t="s">
        <v>179</v>
      </c>
    </row>
    <row r="551" spans="1:4" x14ac:dyDescent="0.25">
      <c r="A551" s="223">
        <v>15</v>
      </c>
      <c r="B551" s="228">
        <v>1.667</v>
      </c>
      <c r="C551" s="223">
        <v>21</v>
      </c>
      <c r="D551" s="223" t="s">
        <v>179</v>
      </c>
    </row>
    <row r="552" spans="1:4" x14ac:dyDescent="0.25">
      <c r="A552" s="223">
        <v>15</v>
      </c>
      <c r="B552" s="228">
        <v>6.4169999999999998</v>
      </c>
      <c r="C552" s="223">
        <v>21</v>
      </c>
      <c r="D552" s="223" t="s">
        <v>179</v>
      </c>
    </row>
    <row r="553" spans="1:4" x14ac:dyDescent="0.25">
      <c r="A553" s="223">
        <v>15</v>
      </c>
      <c r="B553" s="228">
        <v>0.75</v>
      </c>
      <c r="C553" s="223">
        <v>3</v>
      </c>
      <c r="D553" s="223" t="s">
        <v>179</v>
      </c>
    </row>
    <row r="554" spans="1:4" x14ac:dyDescent="0.25">
      <c r="A554" s="223">
        <v>15</v>
      </c>
      <c r="B554" s="228">
        <v>2.9169999999999998</v>
      </c>
      <c r="C554" s="223">
        <v>3</v>
      </c>
      <c r="D554" s="223" t="s">
        <v>179</v>
      </c>
    </row>
    <row r="555" spans="1:4" x14ac:dyDescent="0.25">
      <c r="A555" s="223">
        <v>15</v>
      </c>
      <c r="B555" s="228">
        <v>2.4169999999999998</v>
      </c>
      <c r="C555" s="223">
        <v>3</v>
      </c>
      <c r="D555" s="223" t="s">
        <v>179</v>
      </c>
    </row>
    <row r="556" spans="1:4" x14ac:dyDescent="0.25">
      <c r="A556" s="223">
        <v>15</v>
      </c>
      <c r="B556" s="228">
        <v>2.5830000000000002</v>
      </c>
      <c r="C556" s="223">
        <v>3</v>
      </c>
      <c r="D556" s="223" t="s">
        <v>179</v>
      </c>
    </row>
    <row r="557" spans="1:4" x14ac:dyDescent="0.25">
      <c r="A557" s="223">
        <v>15</v>
      </c>
      <c r="B557" s="228">
        <v>2.6</v>
      </c>
      <c r="C557" s="223">
        <v>3</v>
      </c>
      <c r="D557" s="223" t="s">
        <v>179</v>
      </c>
    </row>
    <row r="558" spans="1:4" x14ac:dyDescent="0.25">
      <c r="A558" s="223">
        <v>15</v>
      </c>
      <c r="B558" s="228">
        <v>0.91700000000000004</v>
      </c>
      <c r="C558" s="223">
        <v>3</v>
      </c>
      <c r="D558" s="223" t="s">
        <v>179</v>
      </c>
    </row>
    <row r="559" spans="1:4" x14ac:dyDescent="0.25">
      <c r="A559" s="223">
        <v>15</v>
      </c>
      <c r="B559" s="226">
        <v>0</v>
      </c>
      <c r="C559" s="223">
        <v>3</v>
      </c>
      <c r="D559" s="223" t="s">
        <v>179</v>
      </c>
    </row>
    <row r="560" spans="1:4" x14ac:dyDescent="0.25">
      <c r="A560" s="223">
        <v>15</v>
      </c>
      <c r="B560" s="228">
        <v>11.333</v>
      </c>
      <c r="C560" s="223">
        <v>3</v>
      </c>
      <c r="D560" s="223" t="s">
        <v>179</v>
      </c>
    </row>
    <row r="561" spans="1:4" x14ac:dyDescent="0.25">
      <c r="A561" s="223">
        <v>15</v>
      </c>
      <c r="B561" s="228">
        <v>1.1539999999999999</v>
      </c>
      <c r="C561" s="223">
        <v>3</v>
      </c>
      <c r="D561" s="223" t="s">
        <v>179</v>
      </c>
    </row>
    <row r="562" spans="1:4" x14ac:dyDescent="0.25">
      <c r="A562" s="223">
        <v>15</v>
      </c>
      <c r="B562" s="228">
        <v>3.1539999999999999</v>
      </c>
      <c r="C562" s="223">
        <v>3</v>
      </c>
      <c r="D562" s="223" t="s">
        <v>179</v>
      </c>
    </row>
    <row r="563" spans="1:4" x14ac:dyDescent="0.25">
      <c r="A563" s="223">
        <v>15</v>
      </c>
      <c r="B563" s="228">
        <v>0.66700000000000004</v>
      </c>
      <c r="C563" s="223">
        <v>3</v>
      </c>
      <c r="D563" s="223" t="s">
        <v>179</v>
      </c>
    </row>
    <row r="564" spans="1:4" x14ac:dyDescent="0.25">
      <c r="A564" s="223">
        <v>15</v>
      </c>
      <c r="B564" s="228">
        <v>3.4620000000000002</v>
      </c>
      <c r="C564" s="223">
        <v>3</v>
      </c>
      <c r="D564" s="223" t="s">
        <v>179</v>
      </c>
    </row>
    <row r="565" spans="1:4" x14ac:dyDescent="0.25">
      <c r="A565" s="223">
        <v>15</v>
      </c>
      <c r="B565" s="228">
        <v>0.76900000000000002</v>
      </c>
      <c r="C565" s="223">
        <v>3</v>
      </c>
      <c r="D565" s="223" t="s">
        <v>179</v>
      </c>
    </row>
    <row r="566" spans="1:4" x14ac:dyDescent="0.25">
      <c r="A566" s="223">
        <v>15</v>
      </c>
      <c r="B566" s="228">
        <v>15.692</v>
      </c>
      <c r="C566" s="223">
        <v>3</v>
      </c>
      <c r="D566" s="223" t="s">
        <v>179</v>
      </c>
    </row>
    <row r="567" spans="1:4" x14ac:dyDescent="0.25">
      <c r="A567" s="223">
        <v>15</v>
      </c>
      <c r="B567" s="228">
        <v>3.8330000000000002</v>
      </c>
      <c r="C567" s="223">
        <v>3</v>
      </c>
      <c r="D567" s="223" t="s">
        <v>179</v>
      </c>
    </row>
    <row r="568" spans="1:4" x14ac:dyDescent="0.25">
      <c r="A568" s="223">
        <v>15</v>
      </c>
      <c r="B568" s="228">
        <v>1.333</v>
      </c>
      <c r="C568" s="223">
        <v>3</v>
      </c>
      <c r="D568" s="223" t="s">
        <v>179</v>
      </c>
    </row>
    <row r="569" spans="1:4" x14ac:dyDescent="0.25">
      <c r="A569" s="223">
        <v>15</v>
      </c>
      <c r="B569" s="228">
        <v>1.833</v>
      </c>
      <c r="C569" s="223">
        <v>3</v>
      </c>
      <c r="D569" s="223" t="s">
        <v>179</v>
      </c>
    </row>
    <row r="570" spans="1:4" x14ac:dyDescent="0.25">
      <c r="A570" s="223">
        <v>15</v>
      </c>
      <c r="B570" s="228">
        <v>2.25</v>
      </c>
      <c r="C570" s="223">
        <v>3</v>
      </c>
      <c r="D570" s="223" t="s">
        <v>179</v>
      </c>
    </row>
    <row r="571" spans="1:4" x14ac:dyDescent="0.25">
      <c r="A571" s="223">
        <v>15</v>
      </c>
      <c r="B571" s="228">
        <v>8.0830000000000002</v>
      </c>
      <c r="C571" s="223">
        <v>3</v>
      </c>
      <c r="D571" s="223" t="s">
        <v>179</v>
      </c>
    </row>
    <row r="572" spans="1:4" x14ac:dyDescent="0.25">
      <c r="A572" s="223">
        <v>15</v>
      </c>
      <c r="B572" s="228">
        <v>5.3079999999999998</v>
      </c>
      <c r="C572" s="223">
        <v>3</v>
      </c>
      <c r="D572" s="223" t="s">
        <v>179</v>
      </c>
    </row>
    <row r="573" spans="1:4" x14ac:dyDescent="0.25">
      <c r="A573" s="223">
        <v>15</v>
      </c>
      <c r="B573" s="228">
        <v>0.84599999999999997</v>
      </c>
      <c r="C573" s="223">
        <v>8</v>
      </c>
      <c r="D573" s="223" t="s">
        <v>179</v>
      </c>
    </row>
    <row r="574" spans="1:4" x14ac:dyDescent="0.25">
      <c r="A574" s="223">
        <v>15</v>
      </c>
      <c r="B574" s="228">
        <v>11.667</v>
      </c>
      <c r="C574" s="223">
        <v>3</v>
      </c>
      <c r="D574" s="223" t="s">
        <v>179</v>
      </c>
    </row>
    <row r="575" spans="1:4" x14ac:dyDescent="0.25">
      <c r="A575" s="223">
        <v>15</v>
      </c>
      <c r="B575" s="228">
        <v>31.082999999999998</v>
      </c>
      <c r="C575" s="223">
        <v>4</v>
      </c>
      <c r="D575" s="223" t="s">
        <v>179</v>
      </c>
    </row>
    <row r="576" spans="1:4" x14ac:dyDescent="0.25">
      <c r="A576" s="223">
        <v>15</v>
      </c>
      <c r="B576" s="228">
        <v>6.0830000000000002</v>
      </c>
      <c r="C576" s="223">
        <v>3</v>
      </c>
      <c r="D576" s="223" t="s">
        <v>179</v>
      </c>
    </row>
    <row r="577" spans="1:4" x14ac:dyDescent="0.25">
      <c r="A577" s="223">
        <v>15</v>
      </c>
      <c r="B577" s="228">
        <v>12.833</v>
      </c>
      <c r="C577" s="223">
        <v>3</v>
      </c>
      <c r="D577" s="223" t="s">
        <v>179</v>
      </c>
    </row>
    <row r="578" spans="1:4" x14ac:dyDescent="0.25">
      <c r="A578" s="223">
        <v>15</v>
      </c>
      <c r="B578" s="226">
        <v>0</v>
      </c>
      <c r="C578" s="223">
        <v>3</v>
      </c>
      <c r="D578" s="223" t="s">
        <v>179</v>
      </c>
    </row>
    <row r="579" spans="1:4" x14ac:dyDescent="0.25">
      <c r="A579" s="223">
        <v>15</v>
      </c>
      <c r="B579" s="228">
        <v>5.9169999999999998</v>
      </c>
      <c r="C579" s="223">
        <v>9</v>
      </c>
      <c r="D579" s="223" t="s">
        <v>179</v>
      </c>
    </row>
    <row r="580" spans="1:4" x14ac:dyDescent="0.25">
      <c r="A580" s="223">
        <v>15</v>
      </c>
      <c r="B580" s="228">
        <v>1.667</v>
      </c>
      <c r="C580" s="223">
        <v>3</v>
      </c>
      <c r="D580" s="223" t="s">
        <v>179</v>
      </c>
    </row>
    <row r="581" spans="1:4" x14ac:dyDescent="0.25">
      <c r="A581" s="223">
        <v>15</v>
      </c>
      <c r="B581" s="228">
        <v>8.0830000000000002</v>
      </c>
      <c r="C581" s="223">
        <v>9</v>
      </c>
      <c r="D581" s="223" t="s">
        <v>179</v>
      </c>
    </row>
    <row r="582" spans="1:4" x14ac:dyDescent="0.25">
      <c r="A582" s="223">
        <v>15</v>
      </c>
      <c r="B582" s="228">
        <v>6.9169999999999998</v>
      </c>
      <c r="C582" s="223">
        <v>7</v>
      </c>
      <c r="D582" s="223" t="s">
        <v>179</v>
      </c>
    </row>
    <row r="583" spans="1:4" x14ac:dyDescent="0.25">
      <c r="A583" s="223">
        <v>15</v>
      </c>
      <c r="B583" s="226">
        <v>0</v>
      </c>
      <c r="C583" s="223">
        <v>14</v>
      </c>
      <c r="D583" s="223" t="s">
        <v>179</v>
      </c>
    </row>
    <row r="584" spans="1:4" x14ac:dyDescent="0.25">
      <c r="A584" s="223">
        <v>15</v>
      </c>
      <c r="B584" s="226">
        <v>44</v>
      </c>
      <c r="C584" s="223">
        <v>3</v>
      </c>
      <c r="D584" s="223" t="s">
        <v>179</v>
      </c>
    </row>
    <row r="585" spans="1:4" x14ac:dyDescent="0.25">
      <c r="A585" s="223">
        <v>15</v>
      </c>
      <c r="B585" s="228">
        <v>7.75</v>
      </c>
      <c r="C585" s="223">
        <v>7</v>
      </c>
      <c r="D585" s="223" t="s">
        <v>179</v>
      </c>
    </row>
    <row r="586" spans="1:4" x14ac:dyDescent="0.25">
      <c r="A586" s="223">
        <v>15</v>
      </c>
      <c r="B586" s="228">
        <v>1.5</v>
      </c>
      <c r="C586" s="223">
        <v>9</v>
      </c>
      <c r="D586" s="223" t="s">
        <v>179</v>
      </c>
    </row>
    <row r="587" spans="1:4" x14ac:dyDescent="0.25">
      <c r="A587" s="223">
        <v>15</v>
      </c>
      <c r="B587" s="228">
        <v>0.33300000000000002</v>
      </c>
      <c r="C587" s="223">
        <v>7</v>
      </c>
      <c r="D587" s="223" t="s">
        <v>179</v>
      </c>
    </row>
    <row r="588" spans="1:4" x14ac:dyDescent="0.25">
      <c r="A588" s="223">
        <v>15</v>
      </c>
      <c r="B588" s="228">
        <v>6.5</v>
      </c>
      <c r="C588" s="223">
        <v>9</v>
      </c>
      <c r="D588" s="223" t="s">
        <v>179</v>
      </c>
    </row>
    <row r="589" spans="1:4" x14ac:dyDescent="0.25">
      <c r="A589" s="223">
        <v>15</v>
      </c>
      <c r="B589" s="228">
        <v>2.5</v>
      </c>
      <c r="C589" s="223">
        <v>9</v>
      </c>
      <c r="D589" s="223" t="s">
        <v>179</v>
      </c>
    </row>
    <row r="590" spans="1:4" x14ac:dyDescent="0.25">
      <c r="A590" s="223">
        <v>15</v>
      </c>
      <c r="B590" s="228">
        <v>0.83299999999999996</v>
      </c>
      <c r="C590" s="223">
        <v>21</v>
      </c>
      <c r="D590" s="223" t="s">
        <v>179</v>
      </c>
    </row>
    <row r="591" spans="1:4" x14ac:dyDescent="0.25">
      <c r="A591" s="223">
        <v>15</v>
      </c>
      <c r="B591" s="228">
        <v>1.583</v>
      </c>
      <c r="C591" s="223">
        <v>3</v>
      </c>
      <c r="D591" s="223" t="s">
        <v>179</v>
      </c>
    </row>
    <row r="592" spans="1:4" x14ac:dyDescent="0.25">
      <c r="A592" s="223">
        <v>15</v>
      </c>
      <c r="B592" s="226">
        <v>0</v>
      </c>
      <c r="C592" s="223">
        <v>21</v>
      </c>
      <c r="D592" s="223" t="s">
        <v>179</v>
      </c>
    </row>
    <row r="593" spans="1:4" x14ac:dyDescent="0.25">
      <c r="A593" s="223">
        <v>15</v>
      </c>
      <c r="B593" s="228">
        <v>8.8330000000000002</v>
      </c>
      <c r="C593" s="223">
        <v>21</v>
      </c>
      <c r="D593" s="223" t="s">
        <v>179</v>
      </c>
    </row>
    <row r="594" spans="1:4" x14ac:dyDescent="0.25">
      <c r="A594" s="223">
        <v>15</v>
      </c>
      <c r="B594" s="228">
        <v>18.582999999999998</v>
      </c>
      <c r="C594" s="223">
        <v>12</v>
      </c>
      <c r="D594" s="223" t="s">
        <v>179</v>
      </c>
    </row>
    <row r="595" spans="1:4" x14ac:dyDescent="0.25">
      <c r="A595" s="223">
        <v>15</v>
      </c>
      <c r="B595" s="228">
        <v>4.1669999999999998</v>
      </c>
      <c r="C595" s="223">
        <v>10</v>
      </c>
      <c r="D595" s="223" t="s">
        <v>179</v>
      </c>
    </row>
    <row r="596" spans="1:4" x14ac:dyDescent="0.25">
      <c r="A596" s="223">
        <v>15</v>
      </c>
      <c r="B596" s="228">
        <v>6.3849999999999998</v>
      </c>
      <c r="C596" s="223">
        <v>9</v>
      </c>
      <c r="D596" s="223" t="s">
        <v>179</v>
      </c>
    </row>
    <row r="597" spans="1:4" x14ac:dyDescent="0.25">
      <c r="A597" s="223">
        <v>15</v>
      </c>
      <c r="B597" s="228">
        <v>2.5830000000000002</v>
      </c>
      <c r="C597" s="223">
        <v>9</v>
      </c>
      <c r="D597" s="223" t="s">
        <v>179</v>
      </c>
    </row>
    <row r="598" spans="1:4" x14ac:dyDescent="0.25">
      <c r="A598" s="223">
        <v>15</v>
      </c>
      <c r="B598" s="228">
        <v>10.917</v>
      </c>
      <c r="C598" s="223">
        <v>11</v>
      </c>
      <c r="D598" s="223" t="s">
        <v>179</v>
      </c>
    </row>
    <row r="599" spans="1:4" x14ac:dyDescent="0.25">
      <c r="A599" s="223">
        <v>15</v>
      </c>
      <c r="B599" s="228">
        <v>2.5</v>
      </c>
      <c r="C599" s="223">
        <v>3</v>
      </c>
      <c r="D599" s="223" t="s">
        <v>179</v>
      </c>
    </row>
    <row r="600" spans="1:4" x14ac:dyDescent="0.25">
      <c r="A600" s="223">
        <v>15</v>
      </c>
      <c r="B600" s="228">
        <v>2.25</v>
      </c>
      <c r="C600" s="223">
        <v>21</v>
      </c>
      <c r="D600" s="223" t="s">
        <v>179</v>
      </c>
    </row>
    <row r="601" spans="1:4" x14ac:dyDescent="0.25">
      <c r="A601" s="223">
        <v>15</v>
      </c>
      <c r="B601" s="228">
        <v>30.75</v>
      </c>
      <c r="C601" s="223">
        <v>9</v>
      </c>
      <c r="D601" s="223" t="s">
        <v>179</v>
      </c>
    </row>
    <row r="602" spans="1:4" x14ac:dyDescent="0.25">
      <c r="A602" s="223">
        <v>15</v>
      </c>
      <c r="B602" s="226">
        <v>6</v>
      </c>
      <c r="C602" s="223">
        <v>12</v>
      </c>
      <c r="D602" s="223" t="s">
        <v>179</v>
      </c>
    </row>
    <row r="603" spans="1:4" x14ac:dyDescent="0.25">
      <c r="A603" s="223">
        <v>15</v>
      </c>
      <c r="B603" s="228">
        <v>7.8330000000000002</v>
      </c>
      <c r="C603" s="223">
        <v>3</v>
      </c>
      <c r="D603" s="223" t="s">
        <v>179</v>
      </c>
    </row>
    <row r="604" spans="1:4" x14ac:dyDescent="0.25">
      <c r="A604" s="223">
        <v>15</v>
      </c>
      <c r="B604" s="226">
        <v>14</v>
      </c>
      <c r="C604" s="223">
        <v>4</v>
      </c>
      <c r="D604" s="223" t="s">
        <v>179</v>
      </c>
    </row>
    <row r="605" spans="1:4" x14ac:dyDescent="0.25">
      <c r="A605" s="223">
        <v>15</v>
      </c>
      <c r="B605" s="226">
        <v>12</v>
      </c>
      <c r="C605" s="223">
        <v>21</v>
      </c>
      <c r="D605" s="223" t="s">
        <v>179</v>
      </c>
    </row>
    <row r="606" spans="1:4" x14ac:dyDescent="0.25">
      <c r="A606" s="223">
        <v>15</v>
      </c>
      <c r="B606" s="228">
        <v>13.583</v>
      </c>
      <c r="C606" s="223">
        <v>21</v>
      </c>
      <c r="D606" s="223" t="s">
        <v>179</v>
      </c>
    </row>
    <row r="607" spans="1:4" x14ac:dyDescent="0.25">
      <c r="A607" s="223">
        <v>15</v>
      </c>
      <c r="B607" s="226">
        <v>0</v>
      </c>
      <c r="C607" s="223">
        <v>21</v>
      </c>
      <c r="D607" s="223" t="s">
        <v>179</v>
      </c>
    </row>
    <row r="608" spans="1:4" x14ac:dyDescent="0.25">
      <c r="A608" s="223">
        <v>15</v>
      </c>
      <c r="B608" s="228">
        <v>0.16700000000000001</v>
      </c>
      <c r="C608" s="223">
        <v>5</v>
      </c>
      <c r="D608" s="223" t="s">
        <v>179</v>
      </c>
    </row>
    <row r="609" spans="1:4" x14ac:dyDescent="0.25">
      <c r="A609" s="223">
        <v>15</v>
      </c>
      <c r="B609" s="228">
        <v>4.6669999999999998</v>
      </c>
      <c r="C609" s="223">
        <v>20</v>
      </c>
      <c r="D609" s="223" t="s">
        <v>179</v>
      </c>
    </row>
    <row r="610" spans="1:4" x14ac:dyDescent="0.25">
      <c r="A610" s="223">
        <v>15</v>
      </c>
      <c r="B610" s="228">
        <v>4.3330000000000002</v>
      </c>
      <c r="C610" s="223">
        <v>3</v>
      </c>
      <c r="D610" s="223" t="s">
        <v>179</v>
      </c>
    </row>
    <row r="611" spans="1:4" x14ac:dyDescent="0.25">
      <c r="A611" s="223">
        <v>15</v>
      </c>
      <c r="B611" s="226">
        <v>0</v>
      </c>
      <c r="C611" s="223">
        <v>3</v>
      </c>
      <c r="D611" s="223" t="s">
        <v>179</v>
      </c>
    </row>
    <row r="612" spans="1:4" x14ac:dyDescent="0.25">
      <c r="A612" s="223">
        <v>15</v>
      </c>
      <c r="B612" s="228">
        <v>3.9169999999999998</v>
      </c>
      <c r="C612" s="223">
        <v>7</v>
      </c>
      <c r="D612" s="223" t="s">
        <v>179</v>
      </c>
    </row>
    <row r="613" spans="1:4" x14ac:dyDescent="0.25">
      <c r="A613" s="223">
        <v>15</v>
      </c>
      <c r="B613" s="228">
        <v>0.66700000000000004</v>
      </c>
      <c r="C613" s="223">
        <v>9</v>
      </c>
      <c r="D613" s="223" t="s">
        <v>179</v>
      </c>
    </row>
    <row r="614" spans="1:4" x14ac:dyDescent="0.25">
      <c r="A614" s="223">
        <v>15</v>
      </c>
      <c r="B614" s="226">
        <v>9</v>
      </c>
      <c r="C614" s="223">
        <v>10</v>
      </c>
      <c r="D614" s="223" t="s">
        <v>179</v>
      </c>
    </row>
    <row r="615" spans="1:4" x14ac:dyDescent="0.25">
      <c r="A615" s="223">
        <v>15</v>
      </c>
      <c r="B615" s="228">
        <v>10.25</v>
      </c>
      <c r="C615" s="223">
        <v>8</v>
      </c>
      <c r="D615" s="223" t="s">
        <v>179</v>
      </c>
    </row>
    <row r="616" spans="1:4" x14ac:dyDescent="0.25">
      <c r="A616" s="223">
        <v>15</v>
      </c>
      <c r="B616" s="228">
        <v>1.083</v>
      </c>
      <c r="C616" s="223">
        <v>5</v>
      </c>
      <c r="D616" s="223" t="s">
        <v>179</v>
      </c>
    </row>
    <row r="617" spans="1:4" x14ac:dyDescent="0.25">
      <c r="A617" s="223">
        <v>15</v>
      </c>
      <c r="B617" s="228">
        <v>29.332999999999998</v>
      </c>
      <c r="C617" s="223">
        <v>8</v>
      </c>
      <c r="D617" s="223" t="s">
        <v>179</v>
      </c>
    </row>
    <row r="618" spans="1:4" x14ac:dyDescent="0.25">
      <c r="A618" s="223">
        <v>15</v>
      </c>
      <c r="B618" s="228">
        <v>16.832999999999998</v>
      </c>
      <c r="C618" s="223">
        <v>19</v>
      </c>
      <c r="D618" s="223" t="s">
        <v>179</v>
      </c>
    </row>
    <row r="619" spans="1:4" x14ac:dyDescent="0.25">
      <c r="A619" s="223">
        <v>15</v>
      </c>
      <c r="B619" s="228">
        <v>3.5830000000000002</v>
      </c>
      <c r="C619" s="223">
        <v>19</v>
      </c>
      <c r="D619" s="223" t="s">
        <v>179</v>
      </c>
    </row>
    <row r="620" spans="1:4" x14ac:dyDescent="0.25">
      <c r="A620" s="223">
        <v>15</v>
      </c>
      <c r="B620" s="228">
        <v>0.46200000000000002</v>
      </c>
      <c r="C620" s="223">
        <v>3</v>
      </c>
      <c r="D620" s="223" t="s">
        <v>179</v>
      </c>
    </row>
    <row r="621" spans="1:4" x14ac:dyDescent="0.25">
      <c r="A621" s="223">
        <v>15</v>
      </c>
      <c r="B621" s="228">
        <v>13.25</v>
      </c>
      <c r="C621" s="223">
        <v>10</v>
      </c>
      <c r="D621" s="223" t="s">
        <v>179</v>
      </c>
    </row>
    <row r="622" spans="1:4" x14ac:dyDescent="0.25">
      <c r="A622" s="223">
        <v>15</v>
      </c>
      <c r="B622" s="228">
        <v>6.875</v>
      </c>
      <c r="C622" s="223">
        <v>2</v>
      </c>
      <c r="D622" s="223" t="s">
        <v>179</v>
      </c>
    </row>
    <row r="623" spans="1:4" x14ac:dyDescent="0.25">
      <c r="A623" s="223">
        <v>15</v>
      </c>
      <c r="B623" s="226">
        <v>20</v>
      </c>
      <c r="C623" s="223">
        <v>9</v>
      </c>
      <c r="D623" s="223" t="s">
        <v>179</v>
      </c>
    </row>
    <row r="624" spans="1:4" x14ac:dyDescent="0.25">
      <c r="A624" s="223">
        <v>15</v>
      </c>
      <c r="B624" s="228">
        <v>6.6669999999999998</v>
      </c>
      <c r="C624" s="223">
        <v>3</v>
      </c>
      <c r="D624" s="223" t="s">
        <v>179</v>
      </c>
    </row>
    <row r="625" spans="1:4" x14ac:dyDescent="0.25">
      <c r="A625" s="223">
        <v>15</v>
      </c>
      <c r="B625" s="226">
        <v>0</v>
      </c>
      <c r="C625" s="223">
        <v>16</v>
      </c>
      <c r="D625" s="223" t="s">
        <v>179</v>
      </c>
    </row>
    <row r="626" spans="1:4" x14ac:dyDescent="0.25">
      <c r="A626" s="223">
        <v>15</v>
      </c>
      <c r="B626" s="228">
        <v>1.75</v>
      </c>
      <c r="C626" s="223">
        <v>18</v>
      </c>
      <c r="D626" s="223" t="s">
        <v>179</v>
      </c>
    </row>
    <row r="627" spans="1:4" x14ac:dyDescent="0.25">
      <c r="A627" s="223">
        <v>15</v>
      </c>
      <c r="B627" s="228">
        <v>11.667</v>
      </c>
      <c r="C627" s="223">
        <v>3</v>
      </c>
      <c r="D627" s="223" t="s">
        <v>179</v>
      </c>
    </row>
    <row r="628" spans="1:4" x14ac:dyDescent="0.25">
      <c r="A628" s="223">
        <v>15</v>
      </c>
      <c r="B628" s="228">
        <v>19.75</v>
      </c>
      <c r="C628" s="223">
        <v>18</v>
      </c>
      <c r="D628" s="223" t="s">
        <v>179</v>
      </c>
    </row>
    <row r="629" spans="1:4" x14ac:dyDescent="0.25">
      <c r="A629" s="223">
        <v>15</v>
      </c>
      <c r="B629" s="228">
        <v>11.5</v>
      </c>
      <c r="C629" s="223">
        <v>18</v>
      </c>
      <c r="D629" s="223" t="s">
        <v>179</v>
      </c>
    </row>
    <row r="630" spans="1:4" x14ac:dyDescent="0.25">
      <c r="A630" s="223">
        <v>15</v>
      </c>
      <c r="B630" s="228">
        <v>2.4289999999999998</v>
      </c>
      <c r="C630" s="223">
        <v>14</v>
      </c>
      <c r="D630" s="223" t="s">
        <v>179</v>
      </c>
    </row>
    <row r="631" spans="1:4" x14ac:dyDescent="0.25">
      <c r="A631" s="223">
        <v>15</v>
      </c>
      <c r="B631" s="228">
        <v>1.667</v>
      </c>
      <c r="C631" s="223">
        <v>7</v>
      </c>
      <c r="D631" s="223" t="s">
        <v>179</v>
      </c>
    </row>
    <row r="632" spans="1:4" x14ac:dyDescent="0.25">
      <c r="A632" s="223">
        <v>15</v>
      </c>
      <c r="B632" s="228">
        <v>2.4620000000000002</v>
      </c>
      <c r="C632" s="223">
        <v>18</v>
      </c>
      <c r="D632" s="223" t="s">
        <v>179</v>
      </c>
    </row>
    <row r="633" spans="1:4" x14ac:dyDescent="0.25">
      <c r="A633" s="223">
        <v>15</v>
      </c>
      <c r="B633" s="226">
        <v>0</v>
      </c>
      <c r="C633" s="223">
        <v>4</v>
      </c>
      <c r="D633" s="223" t="s">
        <v>179</v>
      </c>
    </row>
    <row r="634" spans="1:4" x14ac:dyDescent="0.25">
      <c r="A634" s="223">
        <v>15</v>
      </c>
      <c r="B634" s="228">
        <v>4.75</v>
      </c>
      <c r="C634" s="223">
        <v>18</v>
      </c>
      <c r="D634" s="223" t="s">
        <v>179</v>
      </c>
    </row>
    <row r="635" spans="1:4" x14ac:dyDescent="0.25">
      <c r="A635" s="223">
        <v>15</v>
      </c>
      <c r="B635" s="228">
        <v>9.75</v>
      </c>
      <c r="C635" s="223">
        <v>18</v>
      </c>
      <c r="D635" s="223" t="s">
        <v>179</v>
      </c>
    </row>
    <row r="636" spans="1:4" x14ac:dyDescent="0.25">
      <c r="A636" s="223">
        <v>15</v>
      </c>
      <c r="B636" s="228">
        <v>1.417</v>
      </c>
      <c r="C636" s="223">
        <v>8</v>
      </c>
      <c r="D636" s="223" t="s">
        <v>179</v>
      </c>
    </row>
    <row r="637" spans="1:4" x14ac:dyDescent="0.25">
      <c r="A637" s="223">
        <v>15</v>
      </c>
      <c r="B637" s="228">
        <v>13.917</v>
      </c>
      <c r="C637" s="223">
        <v>12</v>
      </c>
      <c r="D637" s="223" t="s">
        <v>179</v>
      </c>
    </row>
    <row r="638" spans="1:4" x14ac:dyDescent="0.25">
      <c r="A638" s="223">
        <v>15</v>
      </c>
      <c r="B638" s="226">
        <v>19</v>
      </c>
      <c r="C638" s="223">
        <v>6</v>
      </c>
      <c r="D638" s="223" t="s">
        <v>179</v>
      </c>
    </row>
    <row r="639" spans="1:4" x14ac:dyDescent="0.25">
      <c r="A639" s="223">
        <v>15</v>
      </c>
      <c r="B639" s="228">
        <v>2.8330000000000002</v>
      </c>
      <c r="C639" s="223">
        <v>3</v>
      </c>
      <c r="D639" s="223" t="s">
        <v>179</v>
      </c>
    </row>
    <row r="640" spans="1:4" x14ac:dyDescent="0.25">
      <c r="A640" s="223">
        <v>15</v>
      </c>
      <c r="B640" s="228">
        <v>9.25</v>
      </c>
      <c r="C640" s="223">
        <v>5</v>
      </c>
      <c r="D640" s="223" t="s">
        <v>179</v>
      </c>
    </row>
    <row r="641" spans="1:4" x14ac:dyDescent="0.25">
      <c r="A641" s="223">
        <v>15</v>
      </c>
      <c r="B641" s="228">
        <v>8.4169999999999998</v>
      </c>
      <c r="C641" s="223">
        <v>9</v>
      </c>
      <c r="D641" s="223" t="s">
        <v>179</v>
      </c>
    </row>
    <row r="642" spans="1:4" x14ac:dyDescent="0.25">
      <c r="A642" s="223">
        <v>15</v>
      </c>
      <c r="B642" s="228">
        <v>20.832999999999998</v>
      </c>
      <c r="C642" s="223">
        <v>13</v>
      </c>
      <c r="D642" s="223" t="s">
        <v>179</v>
      </c>
    </row>
    <row r="643" spans="1:4" x14ac:dyDescent="0.25">
      <c r="A643" s="223">
        <v>15</v>
      </c>
      <c r="B643" s="228">
        <v>0.5</v>
      </c>
      <c r="C643" s="223">
        <v>10</v>
      </c>
      <c r="D643" s="223" t="s">
        <v>179</v>
      </c>
    </row>
    <row r="644" spans="1:4" x14ac:dyDescent="0.25">
      <c r="A644" s="223">
        <v>15</v>
      </c>
      <c r="B644" s="228">
        <v>10.25</v>
      </c>
      <c r="C644" s="223">
        <v>9</v>
      </c>
      <c r="D644" s="223" t="s">
        <v>179</v>
      </c>
    </row>
    <row r="645" spans="1:4" x14ac:dyDescent="0.25">
      <c r="A645" s="223">
        <v>15</v>
      </c>
      <c r="B645" s="228">
        <v>10.083</v>
      </c>
      <c r="C645" s="223">
        <v>17</v>
      </c>
      <c r="D645" s="223" t="s">
        <v>179</v>
      </c>
    </row>
    <row r="646" spans="1:4" x14ac:dyDescent="0.25">
      <c r="A646" s="223">
        <v>15</v>
      </c>
      <c r="B646" s="228">
        <v>10.917</v>
      </c>
      <c r="C646" s="223">
        <v>6</v>
      </c>
      <c r="D646" s="223" t="s">
        <v>179</v>
      </c>
    </row>
    <row r="647" spans="1:4" x14ac:dyDescent="0.25">
      <c r="A647" s="223">
        <v>15</v>
      </c>
      <c r="B647" s="226">
        <v>0</v>
      </c>
      <c r="C647" s="223">
        <v>17</v>
      </c>
      <c r="D647" s="223" t="s">
        <v>179</v>
      </c>
    </row>
    <row r="648" spans="1:4" x14ac:dyDescent="0.25">
      <c r="A648" s="223">
        <v>15</v>
      </c>
      <c r="B648" s="228">
        <v>6.25</v>
      </c>
      <c r="C648" s="223">
        <v>8</v>
      </c>
      <c r="D648" s="223" t="s">
        <v>179</v>
      </c>
    </row>
    <row r="649" spans="1:4" x14ac:dyDescent="0.25">
      <c r="A649" s="223">
        <v>15</v>
      </c>
      <c r="B649" s="228">
        <v>5.5830000000000002</v>
      </c>
      <c r="C649" s="223">
        <v>30</v>
      </c>
      <c r="D649" s="223" t="s">
        <v>179</v>
      </c>
    </row>
    <row r="650" spans="1:4" x14ac:dyDescent="0.25">
      <c r="A650" s="223">
        <v>15</v>
      </c>
      <c r="B650" s="226">
        <v>0</v>
      </c>
      <c r="C650" s="223">
        <v>17</v>
      </c>
      <c r="D650" s="223" t="s">
        <v>179</v>
      </c>
    </row>
    <row r="651" spans="1:4" x14ac:dyDescent="0.25">
      <c r="A651" s="223">
        <v>15</v>
      </c>
      <c r="B651" s="228">
        <v>3.0830000000000002</v>
      </c>
      <c r="C651" s="223">
        <v>17</v>
      </c>
      <c r="D651" s="223" t="s">
        <v>179</v>
      </c>
    </row>
    <row r="652" spans="1:4" x14ac:dyDescent="0.25">
      <c r="A652" s="223">
        <v>15</v>
      </c>
      <c r="B652" s="228">
        <v>3.0830000000000002</v>
      </c>
      <c r="C652" s="223">
        <v>17</v>
      </c>
      <c r="D652" s="223" t="s">
        <v>179</v>
      </c>
    </row>
    <row r="653" spans="1:4" x14ac:dyDescent="0.25">
      <c r="A653" s="223">
        <v>15</v>
      </c>
      <c r="B653" s="226">
        <v>0</v>
      </c>
      <c r="C653" s="223">
        <v>17</v>
      </c>
      <c r="D653" s="223" t="s">
        <v>179</v>
      </c>
    </row>
    <row r="654" spans="1:4" x14ac:dyDescent="0.25">
      <c r="A654" s="223">
        <v>15</v>
      </c>
      <c r="B654" s="228">
        <v>0.75</v>
      </c>
      <c r="C654" s="223">
        <v>17</v>
      </c>
      <c r="D654" s="223" t="s">
        <v>179</v>
      </c>
    </row>
    <row r="655" spans="1:4" x14ac:dyDescent="0.25">
      <c r="A655" s="223">
        <v>15</v>
      </c>
      <c r="B655" s="228">
        <v>7.0830000000000002</v>
      </c>
      <c r="C655" s="223">
        <v>17</v>
      </c>
      <c r="D655" s="223" t="s">
        <v>179</v>
      </c>
    </row>
    <row r="656" spans="1:4" x14ac:dyDescent="0.25">
      <c r="A656" s="223">
        <v>15</v>
      </c>
      <c r="B656" s="228">
        <v>8.9169999999999998</v>
      </c>
      <c r="C656" s="223">
        <v>17</v>
      </c>
      <c r="D656" s="223" t="s">
        <v>179</v>
      </c>
    </row>
    <row r="657" spans="1:4" x14ac:dyDescent="0.25">
      <c r="A657" s="223">
        <v>15</v>
      </c>
      <c r="B657" s="228">
        <v>8.6669999999999998</v>
      </c>
      <c r="C657" s="223">
        <v>17</v>
      </c>
      <c r="D657" s="223" t="s">
        <v>179</v>
      </c>
    </row>
    <row r="658" spans="1:4" x14ac:dyDescent="0.25">
      <c r="A658" s="223">
        <v>15</v>
      </c>
      <c r="B658" s="228">
        <v>4.5830000000000002</v>
      </c>
      <c r="C658" s="223">
        <v>10</v>
      </c>
      <c r="D658" s="223" t="s">
        <v>179</v>
      </c>
    </row>
    <row r="659" spans="1:4" x14ac:dyDescent="0.25">
      <c r="A659" s="223">
        <v>15</v>
      </c>
      <c r="B659" s="226">
        <v>0</v>
      </c>
      <c r="C659" s="223">
        <v>17</v>
      </c>
      <c r="D659" s="223" t="s">
        <v>179</v>
      </c>
    </row>
    <row r="660" spans="1:4" x14ac:dyDescent="0.25">
      <c r="A660" s="223">
        <v>15</v>
      </c>
      <c r="B660" s="228">
        <v>6.8330000000000002</v>
      </c>
      <c r="C660" s="223">
        <v>5</v>
      </c>
      <c r="D660" s="223" t="s">
        <v>179</v>
      </c>
    </row>
    <row r="661" spans="1:4" x14ac:dyDescent="0.25">
      <c r="A661" s="223">
        <v>15</v>
      </c>
      <c r="B661" s="226">
        <v>0</v>
      </c>
      <c r="C661" s="223">
        <v>7</v>
      </c>
      <c r="D661" s="223" t="s">
        <v>179</v>
      </c>
    </row>
    <row r="662" spans="1:4" x14ac:dyDescent="0.25">
      <c r="A662" s="223">
        <v>15</v>
      </c>
      <c r="B662" s="228">
        <v>27.167000000000002</v>
      </c>
      <c r="C662" s="223">
        <v>16</v>
      </c>
      <c r="D662" s="223" t="s">
        <v>179</v>
      </c>
    </row>
    <row r="663" spans="1:4" x14ac:dyDescent="0.25">
      <c r="A663" s="223">
        <v>15</v>
      </c>
      <c r="B663" s="228">
        <v>2.0830000000000002</v>
      </c>
      <c r="C663" s="223">
        <v>8</v>
      </c>
      <c r="D663" s="223" t="s">
        <v>179</v>
      </c>
    </row>
    <row r="664" spans="1:4" x14ac:dyDescent="0.25">
      <c r="A664" s="223">
        <v>15</v>
      </c>
      <c r="B664" s="228">
        <v>10.417</v>
      </c>
      <c r="C664" s="223">
        <v>9</v>
      </c>
      <c r="D664" s="223" t="s">
        <v>179</v>
      </c>
    </row>
    <row r="665" spans="1:4" x14ac:dyDescent="0.25">
      <c r="A665" s="223">
        <v>15</v>
      </c>
      <c r="B665" s="228">
        <v>5.25</v>
      </c>
      <c r="C665" s="223">
        <v>17</v>
      </c>
      <c r="D665" s="223" t="s">
        <v>179</v>
      </c>
    </row>
    <row r="666" spans="1:4" x14ac:dyDescent="0.25">
      <c r="A666" s="223">
        <v>15</v>
      </c>
      <c r="B666" s="228">
        <v>6.9169999999999998</v>
      </c>
      <c r="C666" s="223">
        <v>9</v>
      </c>
      <c r="D666" s="223" t="s">
        <v>179</v>
      </c>
    </row>
    <row r="667" spans="1:4" x14ac:dyDescent="0.25">
      <c r="A667" s="223">
        <v>15</v>
      </c>
      <c r="B667" s="228">
        <v>11.5</v>
      </c>
      <c r="C667" s="223">
        <v>8</v>
      </c>
      <c r="D667" s="223" t="s">
        <v>179</v>
      </c>
    </row>
    <row r="668" spans="1:4" x14ac:dyDescent="0.25">
      <c r="A668" s="223">
        <v>15</v>
      </c>
      <c r="B668" s="228">
        <v>0.33300000000000002</v>
      </c>
      <c r="C668" s="223">
        <v>16</v>
      </c>
      <c r="D668" s="223" t="s">
        <v>179</v>
      </c>
    </row>
    <row r="669" spans="1:4" x14ac:dyDescent="0.25">
      <c r="A669" s="223">
        <v>15</v>
      </c>
      <c r="B669" s="228">
        <v>4.6669999999999998</v>
      </c>
      <c r="C669" s="223">
        <v>16</v>
      </c>
      <c r="D669" s="223" t="s">
        <v>179</v>
      </c>
    </row>
    <row r="670" spans="1:4" x14ac:dyDescent="0.25">
      <c r="A670" s="223">
        <v>15</v>
      </c>
      <c r="B670" s="228">
        <v>0.83299999999999996</v>
      </c>
      <c r="C670" s="223">
        <v>10</v>
      </c>
      <c r="D670" s="223" t="s">
        <v>179</v>
      </c>
    </row>
    <row r="671" spans="1:4" x14ac:dyDescent="0.25">
      <c r="A671" s="223">
        <v>15</v>
      </c>
      <c r="B671" s="228">
        <v>1.583</v>
      </c>
      <c r="C671" s="223">
        <v>16</v>
      </c>
      <c r="D671" s="223" t="s">
        <v>179</v>
      </c>
    </row>
    <row r="672" spans="1:4" x14ac:dyDescent="0.25">
      <c r="A672" s="223">
        <v>15</v>
      </c>
      <c r="B672" s="228">
        <v>3.25</v>
      </c>
      <c r="C672" s="223">
        <v>16</v>
      </c>
      <c r="D672" s="223" t="s">
        <v>179</v>
      </c>
    </row>
    <row r="673" spans="1:4" x14ac:dyDescent="0.25">
      <c r="A673" s="223">
        <v>15</v>
      </c>
      <c r="B673" s="228">
        <v>7.5</v>
      </c>
      <c r="C673" s="223">
        <v>16</v>
      </c>
      <c r="D673" s="223" t="s">
        <v>179</v>
      </c>
    </row>
    <row r="674" spans="1:4" x14ac:dyDescent="0.25">
      <c r="A674" s="223">
        <v>15</v>
      </c>
      <c r="B674" s="228">
        <v>6.5830000000000002</v>
      </c>
      <c r="C674" s="223">
        <v>16</v>
      </c>
      <c r="D674" s="223" t="s">
        <v>179</v>
      </c>
    </row>
    <row r="675" spans="1:4" x14ac:dyDescent="0.25">
      <c r="A675" s="223">
        <v>15</v>
      </c>
      <c r="B675" s="228">
        <v>42.332999999999998</v>
      </c>
      <c r="C675" s="223">
        <v>16</v>
      </c>
      <c r="D675" s="223" t="s">
        <v>179</v>
      </c>
    </row>
    <row r="676" spans="1:4" x14ac:dyDescent="0.25">
      <c r="A676" s="223">
        <v>15</v>
      </c>
      <c r="B676" s="228">
        <v>3.6669999999999998</v>
      </c>
      <c r="C676" s="223">
        <v>16</v>
      </c>
      <c r="D676" s="223" t="s">
        <v>179</v>
      </c>
    </row>
    <row r="677" spans="1:4" x14ac:dyDescent="0.25">
      <c r="A677" s="223">
        <v>15</v>
      </c>
      <c r="B677" s="226">
        <v>9</v>
      </c>
      <c r="C677" s="223">
        <v>2</v>
      </c>
      <c r="D677" s="223" t="s">
        <v>179</v>
      </c>
    </row>
    <row r="678" spans="1:4" x14ac:dyDescent="0.25">
      <c r="A678" s="223">
        <v>15</v>
      </c>
      <c r="B678" s="226">
        <v>9</v>
      </c>
      <c r="C678" s="223">
        <v>2</v>
      </c>
      <c r="D678" s="223" t="s">
        <v>179</v>
      </c>
    </row>
    <row r="679" spans="1:4" x14ac:dyDescent="0.25">
      <c r="A679" s="223">
        <v>15</v>
      </c>
      <c r="B679" s="228">
        <v>8.0830000000000002</v>
      </c>
      <c r="C679" s="223">
        <v>15</v>
      </c>
      <c r="D679" s="223" t="s">
        <v>179</v>
      </c>
    </row>
    <row r="680" spans="1:4" x14ac:dyDescent="0.25">
      <c r="A680" s="223">
        <v>15</v>
      </c>
      <c r="B680" s="228">
        <v>1.417</v>
      </c>
      <c r="C680" s="223">
        <v>16</v>
      </c>
      <c r="D680" s="223" t="s">
        <v>179</v>
      </c>
    </row>
    <row r="681" spans="1:4" x14ac:dyDescent="0.25">
      <c r="A681" s="223">
        <v>15</v>
      </c>
      <c r="B681" s="228">
        <v>0.25</v>
      </c>
      <c r="C681" s="223">
        <v>16</v>
      </c>
      <c r="D681" s="223" t="s">
        <v>179</v>
      </c>
    </row>
    <row r="682" spans="1:4" x14ac:dyDescent="0.25">
      <c r="A682" s="223">
        <v>15</v>
      </c>
      <c r="B682" s="228">
        <v>14.917</v>
      </c>
      <c r="C682" s="223">
        <v>16</v>
      </c>
      <c r="D682" s="223" t="s">
        <v>179</v>
      </c>
    </row>
    <row r="683" spans="1:4" x14ac:dyDescent="0.25">
      <c r="A683" s="223">
        <v>15</v>
      </c>
      <c r="B683" s="228">
        <v>2.0830000000000002</v>
      </c>
      <c r="C683" s="223">
        <v>16</v>
      </c>
      <c r="D683" s="223" t="s">
        <v>179</v>
      </c>
    </row>
    <row r="684" spans="1:4" x14ac:dyDescent="0.25">
      <c r="A684" s="223">
        <v>15</v>
      </c>
      <c r="B684" s="228">
        <v>4.75</v>
      </c>
      <c r="C684" s="223">
        <v>16</v>
      </c>
      <c r="D684" s="223" t="s">
        <v>179</v>
      </c>
    </row>
    <row r="685" spans="1:4" x14ac:dyDescent="0.25">
      <c r="A685" s="223">
        <v>15</v>
      </c>
      <c r="B685" s="228">
        <v>1.167</v>
      </c>
      <c r="C685" s="223">
        <v>16</v>
      </c>
      <c r="D685" s="223" t="s">
        <v>179</v>
      </c>
    </row>
    <row r="686" spans="1:4" x14ac:dyDescent="0.25">
      <c r="A686" s="223">
        <v>15</v>
      </c>
      <c r="B686" s="228">
        <v>43.417000000000002</v>
      </c>
      <c r="C686" s="223">
        <v>3</v>
      </c>
      <c r="D686" s="223" t="s">
        <v>179</v>
      </c>
    </row>
    <row r="687" spans="1:4" x14ac:dyDescent="0.25">
      <c r="A687" s="223">
        <v>15</v>
      </c>
      <c r="B687" s="228">
        <v>1.667</v>
      </c>
      <c r="C687" s="223">
        <v>16</v>
      </c>
      <c r="D687" s="223" t="s">
        <v>179</v>
      </c>
    </row>
    <row r="688" spans="1:4" x14ac:dyDescent="0.25">
      <c r="A688" s="223">
        <v>15</v>
      </c>
      <c r="B688" s="228">
        <v>1.1539999999999999</v>
      </c>
      <c r="C688" s="223">
        <v>2</v>
      </c>
      <c r="D688" s="223" t="s">
        <v>179</v>
      </c>
    </row>
    <row r="689" spans="1:4" x14ac:dyDescent="0.25">
      <c r="A689" s="223">
        <v>15</v>
      </c>
      <c r="B689" s="228">
        <v>1.167</v>
      </c>
      <c r="C689" s="223">
        <v>16</v>
      </c>
      <c r="D689" s="223" t="s">
        <v>179</v>
      </c>
    </row>
    <row r="690" spans="1:4" x14ac:dyDescent="0.25">
      <c r="A690" s="223">
        <v>15</v>
      </c>
      <c r="B690" s="228">
        <v>15.167</v>
      </c>
      <c r="C690" s="223">
        <v>16</v>
      </c>
      <c r="D690" s="223" t="s">
        <v>179</v>
      </c>
    </row>
    <row r="691" spans="1:4" x14ac:dyDescent="0.25">
      <c r="A691" s="223">
        <v>15</v>
      </c>
      <c r="B691" s="228">
        <v>10.917</v>
      </c>
      <c r="C691" s="223">
        <v>5</v>
      </c>
      <c r="D691" s="223" t="s">
        <v>179</v>
      </c>
    </row>
    <row r="692" spans="1:4" x14ac:dyDescent="0.25">
      <c r="A692" s="223">
        <v>15</v>
      </c>
      <c r="B692" s="228">
        <v>8.8330000000000002</v>
      </c>
      <c r="C692" s="223">
        <v>15</v>
      </c>
      <c r="D692" s="223" t="s">
        <v>179</v>
      </c>
    </row>
    <row r="693" spans="1:4" x14ac:dyDescent="0.25">
      <c r="A693" s="223">
        <v>15</v>
      </c>
      <c r="B693" s="228">
        <v>8.1669999999999998</v>
      </c>
      <c r="C693" s="223">
        <v>16</v>
      </c>
      <c r="D693" s="223" t="s">
        <v>179</v>
      </c>
    </row>
    <row r="694" spans="1:4" x14ac:dyDescent="0.25">
      <c r="A694" s="223">
        <v>15</v>
      </c>
      <c r="B694" s="228">
        <v>26.917000000000002</v>
      </c>
      <c r="C694" s="223">
        <v>4</v>
      </c>
      <c r="D694" s="223" t="s">
        <v>179</v>
      </c>
    </row>
    <row r="695" spans="1:4" x14ac:dyDescent="0.25">
      <c r="A695" s="223">
        <v>15</v>
      </c>
      <c r="B695" s="228">
        <v>7.0830000000000002</v>
      </c>
      <c r="C695" s="223">
        <v>16</v>
      </c>
      <c r="D695" s="223" t="s">
        <v>179</v>
      </c>
    </row>
    <row r="696" spans="1:4" x14ac:dyDescent="0.25">
      <c r="A696" s="223">
        <v>15</v>
      </c>
      <c r="B696" s="228">
        <v>12.833</v>
      </c>
      <c r="C696" s="223">
        <v>16</v>
      </c>
      <c r="D696" s="223" t="s">
        <v>179</v>
      </c>
    </row>
    <row r="697" spans="1:4" x14ac:dyDescent="0.25">
      <c r="A697" s="223">
        <v>15</v>
      </c>
      <c r="B697" s="228">
        <v>3.1669999999999998</v>
      </c>
      <c r="C697" s="223">
        <v>16</v>
      </c>
      <c r="D697" s="223" t="s">
        <v>179</v>
      </c>
    </row>
    <row r="698" spans="1:4" x14ac:dyDescent="0.25">
      <c r="A698" s="223">
        <v>15</v>
      </c>
      <c r="B698" s="228">
        <v>19.25</v>
      </c>
      <c r="C698" s="223">
        <v>16</v>
      </c>
      <c r="D698" s="223" t="s">
        <v>179</v>
      </c>
    </row>
    <row r="699" spans="1:4" x14ac:dyDescent="0.25">
      <c r="A699" s="223">
        <v>15</v>
      </c>
      <c r="B699" s="228">
        <v>64.75</v>
      </c>
      <c r="C699" s="223">
        <v>16</v>
      </c>
      <c r="D699" s="223" t="s">
        <v>179</v>
      </c>
    </row>
    <row r="700" spans="1:4" x14ac:dyDescent="0.25">
      <c r="A700" s="223">
        <v>15</v>
      </c>
      <c r="B700" s="228">
        <v>2.1669999999999998</v>
      </c>
      <c r="C700" s="223">
        <v>16</v>
      </c>
      <c r="D700" s="223" t="s">
        <v>179</v>
      </c>
    </row>
    <row r="701" spans="1:4" x14ac:dyDescent="0.25">
      <c r="A701" s="223">
        <v>15</v>
      </c>
      <c r="B701" s="228">
        <v>5.9169999999999998</v>
      </c>
      <c r="C701" s="223">
        <v>16</v>
      </c>
      <c r="D701" s="223" t="s">
        <v>179</v>
      </c>
    </row>
    <row r="702" spans="1:4" x14ac:dyDescent="0.25">
      <c r="A702" s="223">
        <v>15</v>
      </c>
      <c r="B702" s="228">
        <v>12.75</v>
      </c>
      <c r="C702" s="223">
        <v>13</v>
      </c>
      <c r="D702" s="223" t="s">
        <v>179</v>
      </c>
    </row>
    <row r="703" spans="1:4" x14ac:dyDescent="0.25">
      <c r="A703" s="223">
        <v>15</v>
      </c>
      <c r="B703" s="228">
        <v>16.667000000000002</v>
      </c>
      <c r="C703" s="223">
        <v>10</v>
      </c>
      <c r="D703" s="223" t="s">
        <v>179</v>
      </c>
    </row>
    <row r="704" spans="1:4" x14ac:dyDescent="0.25">
      <c r="A704" s="223">
        <v>15</v>
      </c>
      <c r="B704" s="228">
        <v>5.3330000000000002</v>
      </c>
      <c r="C704" s="223">
        <v>11</v>
      </c>
      <c r="D704" s="223" t="s">
        <v>179</v>
      </c>
    </row>
    <row r="705" spans="1:4" x14ac:dyDescent="0.25">
      <c r="A705" s="223">
        <v>15</v>
      </c>
      <c r="B705" s="228">
        <v>20.75</v>
      </c>
      <c r="C705" s="223">
        <v>9</v>
      </c>
      <c r="D705" s="223" t="s">
        <v>179</v>
      </c>
    </row>
    <row r="706" spans="1:4" x14ac:dyDescent="0.25">
      <c r="A706" s="223">
        <v>15</v>
      </c>
      <c r="B706" s="226">
        <v>0</v>
      </c>
      <c r="C706" s="223">
        <v>15</v>
      </c>
      <c r="D706" s="223" t="s">
        <v>179</v>
      </c>
    </row>
    <row r="707" spans="1:4" x14ac:dyDescent="0.25">
      <c r="A707" s="223">
        <v>15</v>
      </c>
      <c r="B707" s="226">
        <v>32</v>
      </c>
      <c r="C707" s="223">
        <v>4</v>
      </c>
      <c r="D707" s="223" t="s">
        <v>179</v>
      </c>
    </row>
    <row r="708" spans="1:4" x14ac:dyDescent="0.25">
      <c r="A708" s="223">
        <v>15</v>
      </c>
      <c r="B708" s="228">
        <v>6.3330000000000002</v>
      </c>
      <c r="C708" s="223">
        <v>5</v>
      </c>
      <c r="D708" s="223" t="s">
        <v>179</v>
      </c>
    </row>
    <row r="709" spans="1:4" x14ac:dyDescent="0.25">
      <c r="A709" s="223">
        <v>15</v>
      </c>
      <c r="B709" s="228">
        <v>2.1669999999999998</v>
      </c>
      <c r="C709" s="223">
        <v>15</v>
      </c>
      <c r="D709" s="223" t="s">
        <v>179</v>
      </c>
    </row>
    <row r="710" spans="1:4" x14ac:dyDescent="0.25">
      <c r="A710" s="223">
        <v>15</v>
      </c>
      <c r="B710" s="228">
        <v>10.083</v>
      </c>
      <c r="C710" s="223">
        <v>9</v>
      </c>
      <c r="D710" s="223" t="s">
        <v>179</v>
      </c>
    </row>
    <row r="711" spans="1:4" x14ac:dyDescent="0.25">
      <c r="A711" s="223">
        <v>15</v>
      </c>
      <c r="B711" s="228">
        <v>2.9169999999999998</v>
      </c>
      <c r="C711" s="223">
        <v>14</v>
      </c>
      <c r="D711" s="223" t="s">
        <v>179</v>
      </c>
    </row>
    <row r="712" spans="1:4" x14ac:dyDescent="0.25">
      <c r="A712" s="223">
        <v>15</v>
      </c>
      <c r="B712" s="228">
        <v>8.3330000000000002</v>
      </c>
      <c r="C712" s="223">
        <v>9</v>
      </c>
      <c r="D712" s="223" t="s">
        <v>179</v>
      </c>
    </row>
    <row r="713" spans="1:4" x14ac:dyDescent="0.25">
      <c r="A713" s="223">
        <v>15</v>
      </c>
      <c r="B713" s="228">
        <v>25.417000000000002</v>
      </c>
      <c r="C713" s="223">
        <v>8</v>
      </c>
      <c r="D713" s="223" t="s">
        <v>179</v>
      </c>
    </row>
    <row r="714" spans="1:4" x14ac:dyDescent="0.25">
      <c r="A714" s="223">
        <v>15</v>
      </c>
      <c r="B714" s="226">
        <v>6</v>
      </c>
      <c r="C714" s="223">
        <v>14</v>
      </c>
      <c r="D714" s="223" t="s">
        <v>179</v>
      </c>
    </row>
    <row r="715" spans="1:4" x14ac:dyDescent="0.25">
      <c r="A715" s="223">
        <v>15</v>
      </c>
      <c r="B715" s="228">
        <v>2.4169999999999998</v>
      </c>
      <c r="C715" s="223">
        <v>14</v>
      </c>
      <c r="D715" s="223" t="s">
        <v>179</v>
      </c>
    </row>
    <row r="716" spans="1:4" x14ac:dyDescent="0.25">
      <c r="A716" s="223">
        <v>15</v>
      </c>
      <c r="B716" s="228">
        <v>11.5</v>
      </c>
      <c r="C716" s="223">
        <v>14</v>
      </c>
      <c r="D716" s="223" t="s">
        <v>179</v>
      </c>
    </row>
    <row r="717" spans="1:4" x14ac:dyDescent="0.25">
      <c r="A717" s="223">
        <v>15</v>
      </c>
      <c r="B717" s="228">
        <v>9.25</v>
      </c>
      <c r="C717" s="223">
        <v>3</v>
      </c>
      <c r="D717" s="223" t="s">
        <v>179</v>
      </c>
    </row>
    <row r="718" spans="1:4" x14ac:dyDescent="0.25">
      <c r="A718" s="223">
        <v>15</v>
      </c>
      <c r="B718" s="226">
        <v>3</v>
      </c>
      <c r="C718" s="223">
        <v>8</v>
      </c>
      <c r="D718" s="223" t="s">
        <v>179</v>
      </c>
    </row>
    <row r="719" spans="1:4" x14ac:dyDescent="0.25">
      <c r="A719" s="223">
        <v>15</v>
      </c>
      <c r="B719" s="228">
        <v>17.082999999999998</v>
      </c>
      <c r="C719" s="223">
        <v>12</v>
      </c>
      <c r="D719" s="223" t="s">
        <v>179</v>
      </c>
    </row>
    <row r="720" spans="1:4" x14ac:dyDescent="0.25">
      <c r="A720" s="223">
        <v>15</v>
      </c>
      <c r="B720" s="228">
        <v>16.5</v>
      </c>
      <c r="C720" s="223">
        <v>13</v>
      </c>
      <c r="D720" s="223" t="s">
        <v>179</v>
      </c>
    </row>
    <row r="721" spans="1:4" x14ac:dyDescent="0.25">
      <c r="A721" s="223">
        <v>15</v>
      </c>
      <c r="B721" s="228">
        <v>6.6669999999999998</v>
      </c>
      <c r="C721" s="223">
        <v>9</v>
      </c>
      <c r="D721" s="223" t="s">
        <v>179</v>
      </c>
    </row>
    <row r="722" spans="1:4" x14ac:dyDescent="0.25">
      <c r="A722" s="223">
        <v>15</v>
      </c>
      <c r="B722" s="228">
        <v>1.833</v>
      </c>
      <c r="C722" s="223">
        <v>13</v>
      </c>
      <c r="D722" s="223" t="s">
        <v>179</v>
      </c>
    </row>
    <row r="723" spans="1:4" x14ac:dyDescent="0.25">
      <c r="A723" s="223">
        <v>15</v>
      </c>
      <c r="B723" s="228">
        <v>27.917000000000002</v>
      </c>
      <c r="C723" s="223">
        <v>13</v>
      </c>
      <c r="D723" s="223" t="s">
        <v>179</v>
      </c>
    </row>
    <row r="724" spans="1:4" x14ac:dyDescent="0.25">
      <c r="A724" s="223">
        <v>15</v>
      </c>
      <c r="B724" s="228">
        <v>13.167</v>
      </c>
      <c r="C724" s="223">
        <v>12</v>
      </c>
      <c r="D724" s="223" t="s">
        <v>179</v>
      </c>
    </row>
    <row r="725" spans="1:4" x14ac:dyDescent="0.25">
      <c r="A725" s="223">
        <v>15</v>
      </c>
      <c r="B725" s="226">
        <v>4</v>
      </c>
      <c r="C725" s="223">
        <v>12</v>
      </c>
      <c r="D725" s="223" t="s">
        <v>179</v>
      </c>
    </row>
    <row r="726" spans="1:4" x14ac:dyDescent="0.25">
      <c r="A726" s="223">
        <v>15</v>
      </c>
      <c r="B726" s="228">
        <v>8.3000000000000004E-2</v>
      </c>
      <c r="C726" s="223">
        <v>3</v>
      </c>
      <c r="D726" s="223" t="s">
        <v>179</v>
      </c>
    </row>
    <row r="727" spans="1:4" x14ac:dyDescent="0.25">
      <c r="A727" s="223">
        <v>15</v>
      </c>
      <c r="B727" s="228">
        <v>3.75</v>
      </c>
      <c r="C727" s="223">
        <v>12</v>
      </c>
      <c r="D727" s="223" t="s">
        <v>179</v>
      </c>
    </row>
    <row r="728" spans="1:4" x14ac:dyDescent="0.25">
      <c r="A728" s="223">
        <v>15</v>
      </c>
      <c r="B728" s="228">
        <v>1.083</v>
      </c>
      <c r="C728" s="223">
        <v>12</v>
      </c>
      <c r="D728" s="223" t="s">
        <v>179</v>
      </c>
    </row>
    <row r="729" spans="1:4" x14ac:dyDescent="0.25">
      <c r="A729" s="223">
        <v>15</v>
      </c>
      <c r="B729" s="228">
        <v>0.25</v>
      </c>
      <c r="C729" s="223">
        <v>9</v>
      </c>
      <c r="D729" s="223" t="s">
        <v>179</v>
      </c>
    </row>
    <row r="730" spans="1:4" x14ac:dyDescent="0.25">
      <c r="A730" s="223">
        <v>15</v>
      </c>
      <c r="B730" s="228">
        <v>9.1669999999999998</v>
      </c>
      <c r="C730" s="223">
        <v>11</v>
      </c>
      <c r="D730" s="223" t="s">
        <v>179</v>
      </c>
    </row>
    <row r="731" spans="1:4" x14ac:dyDescent="0.25">
      <c r="A731" s="223">
        <v>15</v>
      </c>
      <c r="B731" s="226">
        <v>19</v>
      </c>
      <c r="C731" s="223">
        <v>6</v>
      </c>
      <c r="D731" s="223" t="s">
        <v>179</v>
      </c>
    </row>
    <row r="732" spans="1:4" x14ac:dyDescent="0.25">
      <c r="A732" s="223">
        <v>15</v>
      </c>
      <c r="B732" s="226">
        <v>0</v>
      </c>
      <c r="C732" s="223">
        <v>11</v>
      </c>
      <c r="D732" s="223" t="s">
        <v>179</v>
      </c>
    </row>
    <row r="733" spans="1:4" x14ac:dyDescent="0.25">
      <c r="A733" s="223">
        <v>15</v>
      </c>
      <c r="B733" s="228">
        <v>2.0830000000000002</v>
      </c>
      <c r="C733" s="223">
        <v>10</v>
      </c>
      <c r="D733" s="223" t="s">
        <v>179</v>
      </c>
    </row>
    <row r="734" spans="1:4" x14ac:dyDescent="0.25">
      <c r="A734" s="223">
        <v>15</v>
      </c>
      <c r="B734" s="228">
        <v>3.8330000000000002</v>
      </c>
      <c r="C734" s="223">
        <v>10</v>
      </c>
      <c r="D734" s="223" t="s">
        <v>179</v>
      </c>
    </row>
    <row r="735" spans="1:4" x14ac:dyDescent="0.25">
      <c r="A735" s="223">
        <v>15</v>
      </c>
      <c r="B735" s="228">
        <v>3.25</v>
      </c>
      <c r="C735" s="223">
        <v>10</v>
      </c>
      <c r="D735" s="223" t="s">
        <v>179</v>
      </c>
    </row>
    <row r="736" spans="1:4" x14ac:dyDescent="0.25">
      <c r="A736" s="223">
        <v>15</v>
      </c>
      <c r="B736" s="228">
        <v>12.5</v>
      </c>
      <c r="C736" s="223">
        <v>10</v>
      </c>
      <c r="D736" s="223" t="s">
        <v>179</v>
      </c>
    </row>
    <row r="737" spans="1:4" x14ac:dyDescent="0.25">
      <c r="A737" s="223">
        <v>15</v>
      </c>
      <c r="B737" s="228">
        <v>2.3330000000000002</v>
      </c>
      <c r="C737" s="223">
        <v>10</v>
      </c>
      <c r="D737" s="223" t="s">
        <v>179</v>
      </c>
    </row>
    <row r="738" spans="1:4" x14ac:dyDescent="0.25">
      <c r="A738" s="223">
        <v>15</v>
      </c>
      <c r="B738" s="228">
        <v>12.083</v>
      </c>
      <c r="C738" s="223">
        <v>9</v>
      </c>
      <c r="D738" s="223" t="s">
        <v>179</v>
      </c>
    </row>
    <row r="739" spans="1:4" x14ac:dyDescent="0.25">
      <c r="A739" s="223">
        <v>15</v>
      </c>
      <c r="B739" s="228">
        <v>1.167</v>
      </c>
      <c r="C739" s="223">
        <v>8</v>
      </c>
      <c r="D739" s="223" t="s">
        <v>179</v>
      </c>
    </row>
    <row r="740" spans="1:4" x14ac:dyDescent="0.25">
      <c r="A740" s="223">
        <v>15</v>
      </c>
      <c r="B740" s="228">
        <v>0.25</v>
      </c>
      <c r="C740" s="223">
        <v>8</v>
      </c>
      <c r="D740" s="223" t="s">
        <v>179</v>
      </c>
    </row>
    <row r="741" spans="1:4" x14ac:dyDescent="0.25">
      <c r="A741" s="223">
        <v>15</v>
      </c>
      <c r="B741" s="226">
        <v>1</v>
      </c>
      <c r="C741" s="223">
        <v>8</v>
      </c>
      <c r="D741" s="223" t="s">
        <v>179</v>
      </c>
    </row>
    <row r="742" spans="1:4" x14ac:dyDescent="0.25">
      <c r="A742" s="223">
        <v>15</v>
      </c>
      <c r="B742" s="228">
        <v>3.8330000000000002</v>
      </c>
      <c r="C742" s="223">
        <v>8</v>
      </c>
      <c r="D742" s="223" t="s">
        <v>179</v>
      </c>
    </row>
    <row r="743" spans="1:4" x14ac:dyDescent="0.25">
      <c r="A743" s="223">
        <v>15</v>
      </c>
      <c r="B743" s="228">
        <v>4.4169999999999998</v>
      </c>
      <c r="C743" s="223">
        <v>9</v>
      </c>
      <c r="D743" s="223" t="s">
        <v>179</v>
      </c>
    </row>
    <row r="744" spans="1:4" x14ac:dyDescent="0.25">
      <c r="A744" s="223">
        <v>15</v>
      </c>
      <c r="B744" s="228">
        <v>1.25</v>
      </c>
      <c r="C744" s="223">
        <v>8</v>
      </c>
      <c r="D744" s="223" t="s">
        <v>179</v>
      </c>
    </row>
    <row r="745" spans="1:4" x14ac:dyDescent="0.25">
      <c r="A745" s="223">
        <v>15</v>
      </c>
      <c r="B745" s="228">
        <v>0.66700000000000004</v>
      </c>
      <c r="C745" s="223">
        <v>8</v>
      </c>
      <c r="D745" s="223" t="s">
        <v>179</v>
      </c>
    </row>
    <row r="746" spans="1:4" x14ac:dyDescent="0.25">
      <c r="A746" s="223">
        <v>15</v>
      </c>
      <c r="B746" s="226">
        <v>8</v>
      </c>
      <c r="C746" s="223">
        <v>8</v>
      </c>
      <c r="D746" s="223" t="s">
        <v>179</v>
      </c>
    </row>
    <row r="747" spans="1:4" x14ac:dyDescent="0.25">
      <c r="A747" s="223">
        <v>15</v>
      </c>
      <c r="B747" s="226">
        <v>12</v>
      </c>
      <c r="C747" s="223">
        <v>8</v>
      </c>
      <c r="D747" s="223" t="s">
        <v>179</v>
      </c>
    </row>
    <row r="748" spans="1:4" x14ac:dyDescent="0.25">
      <c r="A748" s="223">
        <v>15</v>
      </c>
      <c r="B748" s="228">
        <v>6.5</v>
      </c>
      <c r="C748" s="223">
        <v>8</v>
      </c>
      <c r="D748" s="223" t="s">
        <v>179</v>
      </c>
    </row>
    <row r="749" spans="1:4" x14ac:dyDescent="0.25">
      <c r="A749" s="223">
        <v>15</v>
      </c>
      <c r="B749" s="228">
        <v>4.25</v>
      </c>
      <c r="C749" s="223">
        <v>8</v>
      </c>
      <c r="D749" s="223" t="s">
        <v>179</v>
      </c>
    </row>
    <row r="750" spans="1:4" x14ac:dyDescent="0.25">
      <c r="A750" s="223">
        <v>15</v>
      </c>
      <c r="B750" s="228">
        <v>12.167</v>
      </c>
      <c r="C750" s="223">
        <v>8</v>
      </c>
      <c r="D750" s="223" t="s">
        <v>179</v>
      </c>
    </row>
    <row r="751" spans="1:4" x14ac:dyDescent="0.25">
      <c r="A751" s="223">
        <v>15</v>
      </c>
      <c r="B751" s="228">
        <v>10.75</v>
      </c>
      <c r="C751" s="223">
        <v>9</v>
      </c>
      <c r="D751" s="223" t="s">
        <v>179</v>
      </c>
    </row>
    <row r="752" spans="1:4" x14ac:dyDescent="0.25">
      <c r="A752" s="223">
        <v>15</v>
      </c>
      <c r="B752" s="228">
        <v>6.4169999999999998</v>
      </c>
      <c r="C752" s="223">
        <v>9</v>
      </c>
      <c r="D752" s="223" t="s">
        <v>179</v>
      </c>
    </row>
    <row r="753" spans="1:4" x14ac:dyDescent="0.25">
      <c r="A753" s="223">
        <v>15</v>
      </c>
      <c r="B753" s="228">
        <v>9.4169999999999998</v>
      </c>
      <c r="C753" s="223">
        <v>8</v>
      </c>
      <c r="D753" s="223" t="s">
        <v>179</v>
      </c>
    </row>
    <row r="754" spans="1:4" x14ac:dyDescent="0.25">
      <c r="A754" s="223">
        <v>15</v>
      </c>
      <c r="B754" s="228">
        <v>9.3330000000000002</v>
      </c>
      <c r="C754" s="223">
        <v>8</v>
      </c>
      <c r="D754" s="223" t="s">
        <v>179</v>
      </c>
    </row>
    <row r="755" spans="1:4" x14ac:dyDescent="0.25">
      <c r="A755" s="223">
        <v>15</v>
      </c>
      <c r="B755" s="228">
        <v>12.5</v>
      </c>
      <c r="C755" s="223">
        <v>8</v>
      </c>
      <c r="D755" s="223" t="s">
        <v>179</v>
      </c>
    </row>
    <row r="756" spans="1:4" x14ac:dyDescent="0.25">
      <c r="A756" s="223">
        <v>15</v>
      </c>
      <c r="B756" s="228">
        <v>10.417</v>
      </c>
      <c r="C756" s="223">
        <v>8</v>
      </c>
      <c r="D756" s="223" t="s">
        <v>179</v>
      </c>
    </row>
    <row r="757" spans="1:4" x14ac:dyDescent="0.25">
      <c r="A757" s="223">
        <v>15</v>
      </c>
      <c r="B757" s="228">
        <v>8.8330000000000002</v>
      </c>
      <c r="C757" s="223">
        <v>8</v>
      </c>
      <c r="D757" s="223" t="s">
        <v>179</v>
      </c>
    </row>
    <row r="758" spans="1:4" x14ac:dyDescent="0.25">
      <c r="A758" s="223">
        <v>15</v>
      </c>
      <c r="B758" s="228">
        <v>3.0830000000000002</v>
      </c>
      <c r="C758" s="223">
        <v>8</v>
      </c>
      <c r="D758" s="223" t="s">
        <v>179</v>
      </c>
    </row>
    <row r="759" spans="1:4" x14ac:dyDescent="0.25">
      <c r="A759" s="223">
        <v>15</v>
      </c>
      <c r="B759" s="228">
        <v>0.66700000000000004</v>
      </c>
      <c r="C759" s="223">
        <v>8</v>
      </c>
      <c r="D759" s="223" t="s">
        <v>179</v>
      </c>
    </row>
    <row r="760" spans="1:4" x14ac:dyDescent="0.25">
      <c r="A760" s="223">
        <v>15</v>
      </c>
      <c r="B760" s="226">
        <v>0</v>
      </c>
      <c r="C760" s="223">
        <v>8</v>
      </c>
      <c r="D760" s="223" t="s">
        <v>179</v>
      </c>
    </row>
    <row r="761" spans="1:4" x14ac:dyDescent="0.25">
      <c r="A761" s="223">
        <v>15</v>
      </c>
      <c r="B761" s="226">
        <v>0</v>
      </c>
      <c r="C761" s="223">
        <v>8</v>
      </c>
      <c r="D761" s="223" t="s">
        <v>179</v>
      </c>
    </row>
    <row r="762" spans="1:4" x14ac:dyDescent="0.25">
      <c r="A762" s="223">
        <v>15</v>
      </c>
      <c r="B762" s="228">
        <v>1.25</v>
      </c>
      <c r="C762" s="223">
        <v>8</v>
      </c>
      <c r="D762" s="223" t="s">
        <v>179</v>
      </c>
    </row>
    <row r="763" spans="1:4" x14ac:dyDescent="0.25">
      <c r="A763" s="223">
        <v>15</v>
      </c>
      <c r="B763" s="228">
        <v>0.58299999999999996</v>
      </c>
      <c r="C763" s="223">
        <v>8</v>
      </c>
      <c r="D763" s="223" t="s">
        <v>179</v>
      </c>
    </row>
    <row r="764" spans="1:4" x14ac:dyDescent="0.25">
      <c r="A764" s="223">
        <v>15</v>
      </c>
      <c r="B764" s="226">
        <v>0</v>
      </c>
      <c r="C764" s="223">
        <v>8</v>
      </c>
      <c r="D764" s="223" t="s">
        <v>179</v>
      </c>
    </row>
    <row r="765" spans="1:4" x14ac:dyDescent="0.25">
      <c r="A765" s="223">
        <v>15</v>
      </c>
      <c r="B765" s="228">
        <v>1.917</v>
      </c>
      <c r="C765" s="223">
        <v>8</v>
      </c>
      <c r="D765" s="223" t="s">
        <v>179</v>
      </c>
    </row>
    <row r="766" spans="1:4" x14ac:dyDescent="0.25">
      <c r="A766" s="223">
        <v>15</v>
      </c>
      <c r="B766" s="228">
        <v>2.1669999999999998</v>
      </c>
      <c r="C766" s="223">
        <v>8</v>
      </c>
      <c r="D766" s="223" t="s">
        <v>179</v>
      </c>
    </row>
    <row r="767" spans="1:4" x14ac:dyDescent="0.25">
      <c r="A767" s="223">
        <v>15</v>
      </c>
      <c r="B767" s="228">
        <v>2.5830000000000002</v>
      </c>
      <c r="C767" s="223">
        <v>8</v>
      </c>
      <c r="D767" s="223" t="s">
        <v>179</v>
      </c>
    </row>
    <row r="768" spans="1:4" x14ac:dyDescent="0.25">
      <c r="A768" s="223">
        <v>15</v>
      </c>
      <c r="B768" s="228">
        <v>6.75</v>
      </c>
      <c r="C768" s="223">
        <v>7</v>
      </c>
      <c r="D768" s="223" t="s">
        <v>179</v>
      </c>
    </row>
    <row r="769" spans="1:4" x14ac:dyDescent="0.25">
      <c r="A769" s="223">
        <v>15</v>
      </c>
      <c r="B769" s="228">
        <v>14.583</v>
      </c>
      <c r="C769" s="223">
        <v>7</v>
      </c>
      <c r="D769" s="223" t="s">
        <v>179</v>
      </c>
    </row>
    <row r="770" spans="1:4" x14ac:dyDescent="0.25">
      <c r="A770" s="223">
        <v>15</v>
      </c>
      <c r="B770" s="228">
        <v>5.5</v>
      </c>
      <c r="C770" s="223">
        <v>7</v>
      </c>
      <c r="D770" s="223" t="s">
        <v>179</v>
      </c>
    </row>
    <row r="771" spans="1:4" x14ac:dyDescent="0.25">
      <c r="A771" s="223">
        <v>15</v>
      </c>
      <c r="B771" s="228">
        <v>0.33300000000000002</v>
      </c>
      <c r="C771" s="223">
        <v>7</v>
      </c>
      <c r="D771" s="223" t="s">
        <v>179</v>
      </c>
    </row>
    <row r="772" spans="1:4" x14ac:dyDescent="0.25">
      <c r="A772" s="223">
        <v>15</v>
      </c>
      <c r="B772" s="228">
        <v>4.25</v>
      </c>
      <c r="C772" s="223">
        <v>7</v>
      </c>
      <c r="D772" s="223" t="s">
        <v>179</v>
      </c>
    </row>
    <row r="773" spans="1:4" x14ac:dyDescent="0.25">
      <c r="A773" s="223">
        <v>15</v>
      </c>
      <c r="B773" s="228">
        <v>10.583</v>
      </c>
      <c r="C773" s="223">
        <v>7</v>
      </c>
      <c r="D773" s="223" t="s">
        <v>179</v>
      </c>
    </row>
    <row r="774" spans="1:4" x14ac:dyDescent="0.25">
      <c r="A774" s="223">
        <v>15</v>
      </c>
      <c r="B774" s="228">
        <v>16.5</v>
      </c>
      <c r="C774" s="223">
        <v>6</v>
      </c>
      <c r="D774" s="223" t="s">
        <v>179</v>
      </c>
    </row>
    <row r="775" spans="1:4" x14ac:dyDescent="0.25">
      <c r="A775" s="223">
        <v>15</v>
      </c>
      <c r="B775" s="228">
        <v>4.8330000000000002</v>
      </c>
      <c r="C775" s="223">
        <v>6</v>
      </c>
      <c r="D775" s="223" t="s">
        <v>179</v>
      </c>
    </row>
    <row r="776" spans="1:4" x14ac:dyDescent="0.25">
      <c r="A776" s="223">
        <v>15</v>
      </c>
      <c r="B776" s="228">
        <v>1.917</v>
      </c>
      <c r="C776" s="223">
        <v>5</v>
      </c>
      <c r="D776" s="223" t="s">
        <v>179</v>
      </c>
    </row>
    <row r="777" spans="1:4" x14ac:dyDescent="0.25">
      <c r="A777" s="223">
        <v>15</v>
      </c>
      <c r="B777" s="228">
        <v>3.1669999999999998</v>
      </c>
      <c r="C777" s="223">
        <v>5</v>
      </c>
      <c r="D777" s="223" t="s">
        <v>179</v>
      </c>
    </row>
    <row r="778" spans="1:4" x14ac:dyDescent="0.25">
      <c r="A778" s="223">
        <v>15</v>
      </c>
      <c r="B778" s="228">
        <v>3.5</v>
      </c>
      <c r="C778" s="223">
        <v>5</v>
      </c>
      <c r="D778" s="223" t="s">
        <v>179</v>
      </c>
    </row>
    <row r="779" spans="1:4" x14ac:dyDescent="0.25">
      <c r="A779" s="223">
        <v>15</v>
      </c>
      <c r="B779" s="228">
        <v>4.8330000000000002</v>
      </c>
      <c r="C779" s="223">
        <v>5</v>
      </c>
      <c r="D779" s="223" t="s">
        <v>179</v>
      </c>
    </row>
    <row r="780" spans="1:4" x14ac:dyDescent="0.25">
      <c r="A780" s="223">
        <v>15</v>
      </c>
      <c r="B780" s="228">
        <v>14.75</v>
      </c>
      <c r="C780" s="223">
        <v>3</v>
      </c>
      <c r="D780" s="223" t="s">
        <v>179</v>
      </c>
    </row>
    <row r="781" spans="1:4" x14ac:dyDescent="0.25">
      <c r="A781" s="223">
        <v>15</v>
      </c>
      <c r="B781" s="228">
        <v>0.83299999999999996</v>
      </c>
      <c r="C781" s="223">
        <v>5</v>
      </c>
      <c r="D781" s="223" t="s">
        <v>179</v>
      </c>
    </row>
    <row r="782" spans="1:4" x14ac:dyDescent="0.25">
      <c r="A782" s="223">
        <v>15</v>
      </c>
      <c r="B782" s="228">
        <v>1.667</v>
      </c>
      <c r="C782" s="223">
        <v>5</v>
      </c>
      <c r="D782" s="223" t="s">
        <v>179</v>
      </c>
    </row>
    <row r="783" spans="1:4" x14ac:dyDescent="0.25">
      <c r="A783" s="223">
        <v>15</v>
      </c>
      <c r="B783" s="228">
        <v>1.5</v>
      </c>
      <c r="C783" s="223">
        <v>5</v>
      </c>
      <c r="D783" s="223" t="s">
        <v>179</v>
      </c>
    </row>
    <row r="784" spans="1:4" x14ac:dyDescent="0.25">
      <c r="A784" s="223">
        <v>15</v>
      </c>
      <c r="B784" s="228">
        <v>9.0830000000000002</v>
      </c>
      <c r="C784" s="223">
        <v>5</v>
      </c>
      <c r="D784" s="223" t="s">
        <v>179</v>
      </c>
    </row>
    <row r="785" spans="1:4" x14ac:dyDescent="0.25">
      <c r="A785" s="223">
        <v>15</v>
      </c>
      <c r="B785" s="228">
        <v>9.5</v>
      </c>
      <c r="C785" s="223">
        <v>2</v>
      </c>
      <c r="D785" s="223" t="s">
        <v>179</v>
      </c>
    </row>
    <row r="786" spans="1:4" x14ac:dyDescent="0.25">
      <c r="A786" s="223">
        <v>15</v>
      </c>
      <c r="B786" s="226">
        <v>0</v>
      </c>
      <c r="C786" s="223">
        <v>4</v>
      </c>
      <c r="D786" s="223" t="s">
        <v>179</v>
      </c>
    </row>
    <row r="787" spans="1:4" x14ac:dyDescent="0.25">
      <c r="A787" s="223">
        <v>15</v>
      </c>
      <c r="B787" s="228">
        <v>4.9169999999999998</v>
      </c>
      <c r="C787" s="223">
        <v>4</v>
      </c>
      <c r="D787" s="223" t="s">
        <v>179</v>
      </c>
    </row>
    <row r="788" spans="1:4" x14ac:dyDescent="0.25">
      <c r="A788" s="223">
        <v>15</v>
      </c>
      <c r="B788" s="228">
        <v>8.25</v>
      </c>
      <c r="C788" s="223">
        <v>2</v>
      </c>
      <c r="D788" s="223" t="s">
        <v>179</v>
      </c>
    </row>
    <row r="789" spans="1:4" x14ac:dyDescent="0.25">
      <c r="A789" s="223">
        <v>15</v>
      </c>
      <c r="B789" s="228">
        <v>8.4169999999999998</v>
      </c>
      <c r="C789" s="223">
        <v>3</v>
      </c>
      <c r="D789" s="223" t="s">
        <v>179</v>
      </c>
    </row>
    <row r="790" spans="1:4" x14ac:dyDescent="0.25">
      <c r="A790" s="223">
        <v>15</v>
      </c>
      <c r="B790" s="228">
        <v>0.33300000000000002</v>
      </c>
      <c r="C790" s="223">
        <v>3</v>
      </c>
      <c r="D790" s="223" t="s">
        <v>179</v>
      </c>
    </row>
    <row r="791" spans="1:4" x14ac:dyDescent="0.25">
      <c r="A791" s="223">
        <v>15</v>
      </c>
      <c r="B791" s="228">
        <v>-15.714</v>
      </c>
      <c r="C791" s="223">
        <v>2</v>
      </c>
      <c r="D791" s="223" t="s">
        <v>179</v>
      </c>
    </row>
    <row r="792" spans="1:4" x14ac:dyDescent="0.25">
      <c r="A792" s="223">
        <v>15</v>
      </c>
      <c r="B792" s="228">
        <v>0.5</v>
      </c>
      <c r="C792" s="223">
        <v>2</v>
      </c>
      <c r="D792" s="223" t="s">
        <v>179</v>
      </c>
    </row>
    <row r="793" spans="1:4" x14ac:dyDescent="0.25">
      <c r="A793" s="223">
        <v>15</v>
      </c>
      <c r="B793" s="228">
        <v>2.5</v>
      </c>
      <c r="C793" s="223">
        <v>2</v>
      </c>
      <c r="D793" s="223" t="s">
        <v>179</v>
      </c>
    </row>
    <row r="794" spans="1:4" x14ac:dyDescent="0.25">
      <c r="A794" s="223">
        <v>15</v>
      </c>
      <c r="B794" s="226">
        <v>0</v>
      </c>
      <c r="C794" s="223">
        <v>2</v>
      </c>
      <c r="D794" s="223" t="s">
        <v>179</v>
      </c>
    </row>
    <row r="795" spans="1:4" x14ac:dyDescent="0.25">
      <c r="A795" s="223">
        <v>15</v>
      </c>
      <c r="B795" s="228">
        <v>9.3330000000000002</v>
      </c>
      <c r="C795" s="223">
        <v>9</v>
      </c>
      <c r="D795" s="223" t="s">
        <v>181</v>
      </c>
    </row>
    <row r="796" spans="1:4" x14ac:dyDescent="0.25">
      <c r="A796" s="223">
        <v>15</v>
      </c>
      <c r="B796" s="226">
        <v>21</v>
      </c>
      <c r="C796" s="223">
        <v>3</v>
      </c>
      <c r="D796" s="223" t="s">
        <v>181</v>
      </c>
    </row>
    <row r="797" spans="1:4" x14ac:dyDescent="0.25">
      <c r="A797" s="223">
        <v>15</v>
      </c>
      <c r="B797" s="228">
        <v>6.4169999999999998</v>
      </c>
      <c r="C797" s="223">
        <v>9</v>
      </c>
      <c r="D797" s="223" t="s">
        <v>181</v>
      </c>
    </row>
    <row r="798" spans="1:4" x14ac:dyDescent="0.25">
      <c r="A798" s="223">
        <v>15</v>
      </c>
      <c r="B798" s="228">
        <v>6.6669999999999998</v>
      </c>
      <c r="C798" s="223">
        <v>9</v>
      </c>
      <c r="D798" s="223" t="s">
        <v>181</v>
      </c>
    </row>
    <row r="799" spans="1:4" x14ac:dyDescent="0.25">
      <c r="A799" s="223">
        <v>15</v>
      </c>
      <c r="B799" s="228">
        <v>1.833</v>
      </c>
      <c r="C799" s="223">
        <v>9</v>
      </c>
      <c r="D799" s="223" t="s">
        <v>181</v>
      </c>
    </row>
    <row r="800" spans="1:4" x14ac:dyDescent="0.25">
      <c r="A800" s="223">
        <v>15</v>
      </c>
      <c r="B800" s="228">
        <v>0.75</v>
      </c>
      <c r="C800" s="223">
        <v>9</v>
      </c>
      <c r="D800" s="223" t="s">
        <v>181</v>
      </c>
    </row>
    <row r="801" spans="1:4" x14ac:dyDescent="0.25">
      <c r="A801" s="223">
        <v>15</v>
      </c>
      <c r="B801" s="226">
        <v>25</v>
      </c>
      <c r="C801" s="223">
        <v>9</v>
      </c>
      <c r="D801" s="223" t="s">
        <v>181</v>
      </c>
    </row>
    <row r="802" spans="1:4" x14ac:dyDescent="0.25">
      <c r="A802" s="223">
        <v>15</v>
      </c>
      <c r="B802" s="228">
        <v>6.5</v>
      </c>
      <c r="C802" s="223">
        <v>5</v>
      </c>
      <c r="D802" s="223" t="s">
        <v>181</v>
      </c>
    </row>
    <row r="803" spans="1:4" x14ac:dyDescent="0.25">
      <c r="A803" s="223">
        <v>15</v>
      </c>
      <c r="B803" s="228">
        <v>14.333</v>
      </c>
      <c r="C803" s="223">
        <v>6</v>
      </c>
      <c r="D803" s="223" t="s">
        <v>181</v>
      </c>
    </row>
    <row r="804" spans="1:4" x14ac:dyDescent="0.25">
      <c r="A804" s="223">
        <v>15</v>
      </c>
      <c r="B804" s="228">
        <v>1.833</v>
      </c>
      <c r="C804" s="223">
        <v>4</v>
      </c>
      <c r="D804" s="223" t="s">
        <v>181</v>
      </c>
    </row>
    <row r="805" spans="1:4" x14ac:dyDescent="0.25">
      <c r="A805" s="223">
        <v>15</v>
      </c>
      <c r="B805" s="226">
        <v>37</v>
      </c>
      <c r="C805" s="223">
        <v>8</v>
      </c>
      <c r="D805" s="223" t="s">
        <v>181</v>
      </c>
    </row>
    <row r="806" spans="1:4" x14ac:dyDescent="0.25">
      <c r="A806" s="223">
        <v>15</v>
      </c>
      <c r="B806" s="228">
        <v>3.5</v>
      </c>
      <c r="C806" s="223">
        <v>9</v>
      </c>
      <c r="D806" s="223" t="s">
        <v>181</v>
      </c>
    </row>
    <row r="807" spans="1:4" x14ac:dyDescent="0.25">
      <c r="A807" s="223">
        <v>15</v>
      </c>
      <c r="B807" s="228">
        <v>20.332999999999998</v>
      </c>
      <c r="C807" s="223">
        <v>9</v>
      </c>
      <c r="D807" s="223" t="s">
        <v>181</v>
      </c>
    </row>
    <row r="808" spans="1:4" x14ac:dyDescent="0.25">
      <c r="A808" s="223">
        <v>15</v>
      </c>
      <c r="B808" s="228">
        <v>9.25</v>
      </c>
      <c r="C808" s="223">
        <v>8</v>
      </c>
      <c r="D808" s="223" t="s">
        <v>181</v>
      </c>
    </row>
    <row r="809" spans="1:4" x14ac:dyDescent="0.25">
      <c r="A809" s="223">
        <v>15</v>
      </c>
      <c r="B809" s="228">
        <v>24.75</v>
      </c>
      <c r="C809" s="223">
        <v>20</v>
      </c>
      <c r="D809" s="223" t="s">
        <v>181</v>
      </c>
    </row>
    <row r="810" spans="1:4" x14ac:dyDescent="0.25">
      <c r="A810" s="223">
        <v>15</v>
      </c>
      <c r="B810" s="228">
        <v>4.5</v>
      </c>
      <c r="C810" s="223">
        <v>20</v>
      </c>
      <c r="D810" s="223" t="s">
        <v>181</v>
      </c>
    </row>
    <row r="811" spans="1:4" x14ac:dyDescent="0.25">
      <c r="A811" s="223">
        <v>15</v>
      </c>
      <c r="B811" s="228">
        <v>16.332999999999998</v>
      </c>
      <c r="C811" s="223">
        <v>20</v>
      </c>
      <c r="D811" s="223" t="s">
        <v>181</v>
      </c>
    </row>
    <row r="812" spans="1:4" x14ac:dyDescent="0.25">
      <c r="A812" s="223">
        <v>15</v>
      </c>
      <c r="B812" s="228">
        <v>19.082999999999998</v>
      </c>
      <c r="C812" s="223">
        <v>9</v>
      </c>
      <c r="D812" s="223" t="s">
        <v>181</v>
      </c>
    </row>
    <row r="813" spans="1:4" x14ac:dyDescent="0.25">
      <c r="A813" s="223">
        <v>15</v>
      </c>
      <c r="B813" s="228">
        <v>9.8330000000000002</v>
      </c>
      <c r="C813" s="223">
        <v>7</v>
      </c>
      <c r="D813" s="223" t="s">
        <v>188</v>
      </c>
    </row>
    <row r="814" spans="1:4" x14ac:dyDescent="0.25">
      <c r="A814" s="223">
        <v>15</v>
      </c>
      <c r="B814" s="228">
        <v>17.167000000000002</v>
      </c>
      <c r="C814" s="223">
        <v>21</v>
      </c>
      <c r="D814" s="223" t="s">
        <v>188</v>
      </c>
    </row>
    <row r="815" spans="1:4" x14ac:dyDescent="0.25">
      <c r="A815" s="223">
        <v>15</v>
      </c>
      <c r="B815" s="228">
        <v>16.082999999999998</v>
      </c>
      <c r="C815" s="223">
        <v>20</v>
      </c>
      <c r="D815" s="223" t="s">
        <v>188</v>
      </c>
    </row>
    <row r="816" spans="1:4" x14ac:dyDescent="0.25">
      <c r="A816" s="223">
        <v>15</v>
      </c>
      <c r="B816" s="228">
        <v>6.9169999999999998</v>
      </c>
      <c r="C816" s="223">
        <v>7</v>
      </c>
      <c r="D816" s="223" t="s">
        <v>188</v>
      </c>
    </row>
    <row r="817" spans="1:4" x14ac:dyDescent="0.25">
      <c r="A817" s="223">
        <v>15</v>
      </c>
      <c r="B817" s="228">
        <v>15.25</v>
      </c>
      <c r="C817" s="223">
        <v>4</v>
      </c>
      <c r="D817" s="223" t="s">
        <v>188</v>
      </c>
    </row>
    <row r="818" spans="1:4" x14ac:dyDescent="0.25">
      <c r="A818" s="223">
        <v>15</v>
      </c>
      <c r="B818" s="226">
        <v>0</v>
      </c>
      <c r="C818" s="223">
        <v>7</v>
      </c>
      <c r="D818" s="223" t="s">
        <v>188</v>
      </c>
    </row>
    <row r="819" spans="1:4" x14ac:dyDescent="0.25">
      <c r="A819" s="223">
        <v>15</v>
      </c>
      <c r="B819" s="228">
        <v>17.582999999999998</v>
      </c>
      <c r="C819" s="223">
        <v>13</v>
      </c>
      <c r="D819" s="223" t="s">
        <v>188</v>
      </c>
    </row>
    <row r="820" spans="1:4" x14ac:dyDescent="0.25">
      <c r="A820" s="223">
        <v>15</v>
      </c>
      <c r="B820" s="228">
        <v>21.643000000000001</v>
      </c>
      <c r="C820" s="223">
        <v>13</v>
      </c>
      <c r="D820" s="223" t="s">
        <v>188</v>
      </c>
    </row>
    <row r="821" spans="1:4" x14ac:dyDescent="0.25">
      <c r="A821" s="223">
        <v>15</v>
      </c>
      <c r="B821" s="228">
        <v>132.917</v>
      </c>
      <c r="C821" s="223">
        <v>3</v>
      </c>
      <c r="D821" s="223" t="s">
        <v>188</v>
      </c>
    </row>
    <row r="822" spans="1:4" x14ac:dyDescent="0.25">
      <c r="A822" s="223">
        <v>15</v>
      </c>
      <c r="B822" s="228">
        <v>64.832999999999998</v>
      </c>
      <c r="C822" s="223">
        <v>8</v>
      </c>
      <c r="D822" s="223" t="s">
        <v>188</v>
      </c>
    </row>
    <row r="823" spans="1:4" x14ac:dyDescent="0.25">
      <c r="A823" s="223">
        <v>15</v>
      </c>
      <c r="B823" s="228">
        <v>4.4169999999999998</v>
      </c>
      <c r="C823" s="223">
        <v>5</v>
      </c>
      <c r="D823" s="223" t="s">
        <v>188</v>
      </c>
    </row>
    <row r="824" spans="1:4" x14ac:dyDescent="0.25">
      <c r="A824" s="223">
        <v>15</v>
      </c>
      <c r="B824" s="226">
        <v>1309</v>
      </c>
      <c r="C824" s="223">
        <v>30</v>
      </c>
      <c r="D824" s="223" t="s">
        <v>188</v>
      </c>
    </row>
    <row r="825" spans="1:4" x14ac:dyDescent="0.25">
      <c r="A825" s="223">
        <v>20</v>
      </c>
      <c r="B825" s="228">
        <v>105.6</v>
      </c>
      <c r="C825" s="223">
        <v>15</v>
      </c>
      <c r="D825" s="223" t="s">
        <v>188</v>
      </c>
    </row>
    <row r="826" spans="1:4" x14ac:dyDescent="0.25">
      <c r="A826" s="223">
        <v>25</v>
      </c>
      <c r="B826" s="228">
        <v>7.7859999999999996</v>
      </c>
      <c r="C826" s="223">
        <v>13</v>
      </c>
      <c r="D826" s="223" t="s">
        <v>188</v>
      </c>
    </row>
    <row r="827" spans="1:4" x14ac:dyDescent="0.25">
      <c r="A827" s="223">
        <v>15</v>
      </c>
      <c r="B827" s="228">
        <v>6.4669999999999996</v>
      </c>
      <c r="C827" s="223">
        <v>8</v>
      </c>
      <c r="D827" s="223" t="s">
        <v>188</v>
      </c>
    </row>
    <row r="828" spans="1:4" x14ac:dyDescent="0.25">
      <c r="A828" s="223">
        <v>15</v>
      </c>
      <c r="B828" s="228">
        <v>30.213999999999999</v>
      </c>
      <c r="C828" s="223">
        <v>10</v>
      </c>
      <c r="D828" s="223" t="s">
        <v>188</v>
      </c>
    </row>
    <row r="829" spans="1:4" x14ac:dyDescent="0.25">
      <c r="A829" s="223">
        <v>15</v>
      </c>
      <c r="B829" s="228">
        <v>3.222</v>
      </c>
      <c r="C829" s="223">
        <v>9</v>
      </c>
      <c r="D829" s="223" t="s">
        <v>188</v>
      </c>
    </row>
    <row r="830" spans="1:4" x14ac:dyDescent="0.25">
      <c r="A830" s="223">
        <v>15</v>
      </c>
      <c r="B830" s="228">
        <v>36.1</v>
      </c>
      <c r="C830" s="223">
        <v>8</v>
      </c>
      <c r="D830" s="223" t="s">
        <v>188</v>
      </c>
    </row>
    <row r="831" spans="1:4" x14ac:dyDescent="0.25">
      <c r="A831" s="223">
        <v>20</v>
      </c>
      <c r="B831" s="228">
        <v>42.9</v>
      </c>
      <c r="C831" s="223">
        <v>3</v>
      </c>
      <c r="D831" s="223" t="s">
        <v>188</v>
      </c>
    </row>
    <row r="832" spans="1:4" x14ac:dyDescent="0.25">
      <c r="A832" s="223">
        <v>15</v>
      </c>
      <c r="B832" s="228">
        <v>5.75</v>
      </c>
      <c r="C832" s="223">
        <v>4</v>
      </c>
      <c r="D832" s="223" t="s">
        <v>188</v>
      </c>
    </row>
    <row r="833" spans="1:4" x14ac:dyDescent="0.25">
      <c r="A833" s="223">
        <v>25</v>
      </c>
      <c r="B833" s="228">
        <v>361.33300000000003</v>
      </c>
      <c r="C833" s="223">
        <v>11</v>
      </c>
      <c r="D833" s="223" t="s">
        <v>188</v>
      </c>
    </row>
    <row r="834" spans="1:4" x14ac:dyDescent="0.25">
      <c r="A834" s="223">
        <v>15</v>
      </c>
      <c r="B834" s="228">
        <v>44.082999999999998</v>
      </c>
      <c r="C834" s="223">
        <v>10</v>
      </c>
      <c r="D834" s="223" t="s">
        <v>188</v>
      </c>
    </row>
    <row r="835" spans="1:4" x14ac:dyDescent="0.25">
      <c r="A835" s="223">
        <v>15</v>
      </c>
      <c r="B835" s="226">
        <v>19.75</v>
      </c>
      <c r="C835" s="223">
        <v>3</v>
      </c>
      <c r="D835" s="223" t="s">
        <v>188</v>
      </c>
    </row>
    <row r="836" spans="1:4" x14ac:dyDescent="0.25">
      <c r="A836" s="223">
        <v>15</v>
      </c>
      <c r="B836" s="228">
        <v>7.5830000000000002</v>
      </c>
      <c r="C836" s="223">
        <v>10</v>
      </c>
      <c r="D836" s="223" t="s">
        <v>188</v>
      </c>
    </row>
    <row r="837" spans="1:4" x14ac:dyDescent="0.25">
      <c r="A837" s="223"/>
      <c r="B837" s="226"/>
      <c r="C837" s="223"/>
      <c r="D837" s="224"/>
    </row>
    <row r="838" spans="1:4" x14ac:dyDescent="0.25">
      <c r="A838" s="223"/>
      <c r="B838" s="226"/>
      <c r="C838" s="223"/>
      <c r="D838" s="224"/>
    </row>
    <row r="839" spans="1:4" x14ac:dyDescent="0.25">
      <c r="A839" s="223"/>
      <c r="B839" s="226"/>
      <c r="C839" s="223"/>
      <c r="D839" s="224"/>
    </row>
    <row r="840" spans="1:4" x14ac:dyDescent="0.25">
      <c r="A840" s="223"/>
      <c r="B840" s="226"/>
      <c r="C840" s="223"/>
      <c r="D840" s="224"/>
    </row>
    <row r="841" spans="1:4" x14ac:dyDescent="0.25">
      <c r="A841" s="223"/>
      <c r="B841" s="226"/>
      <c r="C841" s="223"/>
      <c r="D841" s="224"/>
    </row>
    <row r="842" spans="1:4" x14ac:dyDescent="0.25">
      <c r="A842" s="223"/>
      <c r="B842" s="226"/>
      <c r="C842" s="223"/>
      <c r="D842" s="224"/>
    </row>
    <row r="843" spans="1:4" x14ac:dyDescent="0.25">
      <c r="A843" s="223"/>
      <c r="B843" s="226"/>
      <c r="C843" s="223"/>
      <c r="D843" s="224"/>
    </row>
    <row r="844" spans="1:4" x14ac:dyDescent="0.25">
      <c r="A844" s="223"/>
      <c r="B844" s="226"/>
      <c r="C844" s="223"/>
      <c r="D844" s="224"/>
    </row>
    <row r="845" spans="1:4" x14ac:dyDescent="0.25">
      <c r="A845" s="223"/>
      <c r="B845" s="226"/>
      <c r="C845" s="223"/>
      <c r="D845" s="224"/>
    </row>
    <row r="846" spans="1:4" x14ac:dyDescent="0.25">
      <c r="A846" s="223"/>
      <c r="B846" s="226"/>
      <c r="C846" s="223"/>
      <c r="D846" s="224"/>
    </row>
    <row r="847" spans="1:4" x14ac:dyDescent="0.25">
      <c r="A847" s="223"/>
      <c r="B847" s="226"/>
      <c r="C847" s="223"/>
      <c r="D847" s="224"/>
    </row>
    <row r="848" spans="1:4" x14ac:dyDescent="0.25">
      <c r="A848" s="223"/>
      <c r="B848" s="226"/>
      <c r="C848" s="223"/>
      <c r="D848" s="224"/>
    </row>
    <row r="849" spans="1:4" x14ac:dyDescent="0.25">
      <c r="A849" s="223"/>
      <c r="B849" s="226"/>
      <c r="C849" s="223"/>
      <c r="D849" s="224"/>
    </row>
    <row r="850" spans="1:4" x14ac:dyDescent="0.25">
      <c r="A850" s="223"/>
      <c r="B850" s="226"/>
      <c r="C850" s="223"/>
      <c r="D850" s="224"/>
    </row>
    <row r="851" spans="1:4" x14ac:dyDescent="0.25">
      <c r="A851" s="223"/>
      <c r="B851" s="226"/>
      <c r="C851" s="223"/>
      <c r="D851" s="224"/>
    </row>
    <row r="852" spans="1:4" x14ac:dyDescent="0.25">
      <c r="A852" s="223"/>
      <c r="B852" s="226"/>
      <c r="C852" s="223"/>
      <c r="D852" s="224"/>
    </row>
    <row r="853" spans="1:4" x14ac:dyDescent="0.25">
      <c r="A853" s="223"/>
      <c r="B853" s="226"/>
      <c r="C853" s="223"/>
      <c r="D853" s="224"/>
    </row>
    <row r="854" spans="1:4" x14ac:dyDescent="0.25">
      <c r="A854" s="223"/>
      <c r="B854" s="226"/>
      <c r="C854" s="223"/>
      <c r="D854" s="224"/>
    </row>
    <row r="855" spans="1:4" x14ac:dyDescent="0.25">
      <c r="A855" s="223"/>
      <c r="B855" s="226"/>
      <c r="C855" s="223"/>
      <c r="D855" s="224"/>
    </row>
    <row r="856" spans="1:4" x14ac:dyDescent="0.25">
      <c r="A856" s="223"/>
      <c r="B856" s="226"/>
      <c r="C856" s="223"/>
      <c r="D856" s="224"/>
    </row>
    <row r="857" spans="1:4" x14ac:dyDescent="0.25">
      <c r="A857" s="223"/>
      <c r="B857" s="226"/>
      <c r="C857" s="223"/>
      <c r="D857" s="224"/>
    </row>
    <row r="858" spans="1:4" x14ac:dyDescent="0.25">
      <c r="A858" s="223"/>
      <c r="B858" s="226"/>
      <c r="C858" s="223"/>
      <c r="D858" s="224"/>
    </row>
    <row r="859" spans="1:4" x14ac:dyDescent="0.25">
      <c r="A859" s="223"/>
      <c r="B859" s="226"/>
      <c r="C859" s="223"/>
      <c r="D859" s="224"/>
    </row>
    <row r="860" spans="1:4" x14ac:dyDescent="0.25">
      <c r="A860" s="223"/>
      <c r="B860" s="226"/>
      <c r="C860" s="223"/>
      <c r="D860" s="224"/>
    </row>
    <row r="861" spans="1:4" x14ac:dyDescent="0.25">
      <c r="A861" s="223"/>
      <c r="B861" s="226"/>
      <c r="C861" s="223"/>
      <c r="D861" s="224"/>
    </row>
    <row r="862" spans="1:4" x14ac:dyDescent="0.25">
      <c r="A862" s="223"/>
      <c r="B862" s="226"/>
      <c r="C862" s="223"/>
      <c r="D862" s="224"/>
    </row>
    <row r="863" spans="1:4" x14ac:dyDescent="0.25">
      <c r="A863" s="223"/>
      <c r="B863" s="226"/>
      <c r="C863" s="223"/>
      <c r="D863" s="224"/>
    </row>
    <row r="864" spans="1:4" x14ac:dyDescent="0.25">
      <c r="A864" s="223"/>
      <c r="B864" s="226"/>
      <c r="C864" s="223"/>
      <c r="D864" s="224"/>
    </row>
    <row r="865" spans="1:4" x14ac:dyDescent="0.25">
      <c r="A865" s="223"/>
      <c r="B865" s="226"/>
      <c r="C865" s="223"/>
      <c r="D865" s="224"/>
    </row>
  </sheetData>
  <sheetProtection algorithmName="SHA-512" hashValue="kRSDkRzP+EiHz83JFma4yHTfij98/x0DaLdSKzJEMosK+ZN+GOko0T1eIO5vSpzA9bTupNOeXHwugXDWuIbFtg==" saltValue="qeXRD0/Kqo3py5/ZDoxHLQ==" spinCount="100000" sheet="1" objects="1" scenarios="1" selectLockedCell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9</vt:i4>
      </vt:variant>
      <vt:variant>
        <vt:lpstr>Intervalos com Nome</vt:lpstr>
      </vt:variant>
      <vt:variant>
        <vt:i4>1</vt:i4>
      </vt:variant>
    </vt:vector>
  </HeadingPairs>
  <TitlesOfParts>
    <vt:vector size="10" baseType="lpstr">
      <vt:lpstr>Cover</vt:lpstr>
      <vt:lpstr>Report</vt:lpstr>
      <vt:lpstr>Informação geral</vt:lpstr>
      <vt:lpstr>DOMESTICO</vt:lpstr>
      <vt:lpstr>COMERCIAL</vt:lpstr>
      <vt:lpstr>INDUSTRIAL</vt:lpstr>
      <vt:lpstr>OTROS</vt:lpstr>
      <vt:lpstr>Info_med</vt:lpstr>
      <vt:lpstr>Meters</vt:lpstr>
      <vt:lpstr>'Informação geral'!Área_de_Impressão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2020-02-11T15:50:42Z</dcterms:modified>
</cp:coreProperties>
</file>